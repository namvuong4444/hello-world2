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16" codeName="{00000000-0000-0000-0000-000000000000}"/>
  <workbookPr codeName="ThisWorkbook"/>
  <mc:AlternateContent xmlns:mc="http://schemas.openxmlformats.org/markup-compatibility/2006">
    <mc:Choice Requires="x15">
      <x15ac:absPath xmlns:x15ac="http://schemas.microsoft.com/office/spreadsheetml/2010/11/ac" url="C:\Users\tuanvn1\Desktop\"/>
    </mc:Choice>
  </mc:AlternateContent>
  <xr:revisionPtr revIDLastSave="13" documentId="11_E1546091382911595529A423E23EC49C2A19452B" xr6:coauthVersionLast="47" xr6:coauthVersionMax="47" xr10:uidLastSave="{66B1270E-B15E-480F-81F4-0BE977D39658}"/>
  <bookViews>
    <workbookView xWindow="0" yWindow="0" windowWidth="22260" windowHeight="12645" firstSheet="7" activeTab="7" xr2:uid="{00000000-000D-0000-FFFF-FFFF00000000}"/>
  </bookViews>
  <sheets>
    <sheet name="Config" sheetId="3" r:id="rId1"/>
    <sheet name="Main" sheetId="1" r:id="rId2"/>
    <sheet name="Backlog" sheetId="4" r:id="rId3"/>
    <sheet name="Format" sheetId="2" r:id="rId4"/>
    <sheet name="LaiPV" sheetId="59" r:id="rId5"/>
    <sheet name="UyenPLC" sheetId="60" r:id="rId6"/>
    <sheet name="ChuongNM" sheetId="61" r:id="rId7"/>
    <sheet name="HieuVD" sheetId="62" r:id="rId8"/>
  </sheets>
  <calcPr calcId="191028" forceFullCal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 i="62" l="1" a="1"/>
  <c r="I3" i="62"/>
  <c r="I3" i="61" a="1"/>
  <c r="I3" i="61"/>
  <c r="I8" i="61" a="1"/>
  <c r="I8" i="61"/>
  <c r="I7" i="61" a="1"/>
  <c r="I7" i="61"/>
  <c r="I6" i="61" a="1"/>
  <c r="I6" i="61"/>
  <c r="I5" i="61" a="1"/>
  <c r="I5" i="61"/>
  <c r="I4" i="61" a="1"/>
  <c r="I4" i="61"/>
  <c r="I22" i="62"/>
  <c r="I21" i="62"/>
  <c r="I20" i="62"/>
  <c r="I19" i="62"/>
  <c r="I18" i="62"/>
  <c r="I17" i="62"/>
  <c r="I16" i="62"/>
  <c r="I15" i="62"/>
  <c r="I14" i="62"/>
  <c r="I13" i="62"/>
  <c r="I12" i="62"/>
  <c r="I11" i="62"/>
  <c r="I10" i="62"/>
  <c r="I9" i="62"/>
  <c r="I8" i="62"/>
  <c r="I7" i="62"/>
  <c r="I6" i="62"/>
  <c r="I5" i="62"/>
  <c r="I4" i="62"/>
  <c r="I22" i="61"/>
  <c r="I21" i="61"/>
  <c r="I20" i="61"/>
  <c r="I19" i="61"/>
  <c r="I18" i="61"/>
  <c r="I17" i="61"/>
  <c r="I16" i="61"/>
  <c r="I15" i="61"/>
  <c r="I14" i="61"/>
  <c r="I13" i="61"/>
  <c r="I12" i="61"/>
  <c r="I11" i="61"/>
  <c r="I10" i="61"/>
  <c r="I9" i="61"/>
  <c r="I22" i="60"/>
  <c r="I21" i="60"/>
  <c r="I20" i="60"/>
  <c r="I19" i="60"/>
  <c r="I18" i="60"/>
  <c r="I17" i="60"/>
  <c r="I16" i="60"/>
  <c r="I15" i="60"/>
  <c r="I14" i="60"/>
  <c r="I13" i="60"/>
  <c r="I12" i="60"/>
  <c r="I11" i="60"/>
  <c r="I10" i="60"/>
  <c r="I9" i="60"/>
  <c r="I8" i="60"/>
  <c r="I7" i="60"/>
  <c r="I6" i="60"/>
  <c r="I5" i="60"/>
  <c r="I4" i="60"/>
  <c r="I3" i="60"/>
  <c r="I22" i="59"/>
  <c r="I21" i="59"/>
  <c r="I20" i="59"/>
  <c r="I19" i="59"/>
  <c r="I18" i="59"/>
  <c r="I17" i="59"/>
  <c r="I16" i="59"/>
  <c r="I15" i="59"/>
  <c r="I14" i="59"/>
  <c r="I13" i="59"/>
  <c r="I12" i="59"/>
  <c r="I11" i="59"/>
  <c r="I10" i="59"/>
  <c r="I9" i="59"/>
  <c r="I8" i="59"/>
  <c r="I7" i="59"/>
  <c r="I6" i="59"/>
  <c r="I5" i="59"/>
  <c r="I4" i="59"/>
  <c r="I3" i="5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<sst xmlns="http://schemas.openxmlformats.org/spreadsheetml/2006/main" count="1539" uniqueCount="453">
  <si>
    <t>No</t>
  </si>
  <si>
    <t>Member</t>
  </si>
  <si>
    <t>LaiPV</t>
  </si>
  <si>
    <t>UyenPLC</t>
  </si>
  <si>
    <t>ChuongNM</t>
  </si>
  <si>
    <t>HieuVD</t>
  </si>
  <si>
    <t>Summary</t>
  </si>
  <si>
    <t>Issue key</t>
  </si>
  <si>
    <t>Issue id</t>
  </si>
  <si>
    <t>Issue Type</t>
  </si>
  <si>
    <t>Status</t>
  </si>
  <si>
    <t>Project key</t>
  </si>
  <si>
    <t>Project name</t>
  </si>
  <si>
    <t>Project type</t>
  </si>
  <si>
    <t>Project lead</t>
  </si>
  <si>
    <t>Project description</t>
  </si>
  <si>
    <t>Project url</t>
  </si>
  <si>
    <t>Priority</t>
  </si>
  <si>
    <t>Resolution</t>
  </si>
  <si>
    <t>Assignee</t>
  </si>
  <si>
    <t>Reporter</t>
  </si>
  <si>
    <t>Creator</t>
  </si>
  <si>
    <t>Created</t>
  </si>
  <si>
    <t>Updated</t>
  </si>
  <si>
    <t>Last Viewed</t>
  </si>
  <si>
    <t>Resolved</t>
  </si>
  <si>
    <t>Fix Version/s</t>
  </si>
  <si>
    <t>Component/s</t>
  </si>
  <si>
    <t>Due Date</t>
  </si>
  <si>
    <t>Votes</t>
  </si>
  <si>
    <t>Description</t>
  </si>
  <si>
    <t>Environment</t>
  </si>
  <si>
    <t>Watchers</t>
  </si>
  <si>
    <t>Log Work</t>
  </si>
  <si>
    <t>Original Estimate</t>
  </si>
  <si>
    <t>Remaining Estimate</t>
  </si>
  <si>
    <t>Time Spent</t>
  </si>
  <si>
    <t>Work Ratio</t>
  </si>
  <si>
    <t>Î£ Original Estimate</t>
  </si>
  <si>
    <t>Î£ Remaining Estimate</t>
  </si>
  <si>
    <t>Î£ Time Spent</t>
  </si>
  <si>
    <t>Security Level</t>
  </si>
  <si>
    <t>Outward issue link (Cloners)</t>
  </si>
  <si>
    <t>Custom field (Accepted (Y/N))</t>
  </si>
  <si>
    <t>Custom field (Accepted By)</t>
  </si>
  <si>
    <t>Custom field (Accepted Date)</t>
  </si>
  <si>
    <t>Custom field (Account)</t>
  </si>
  <si>
    <t>Custom field (Action Item Type)</t>
  </si>
  <si>
    <t>Custom field (Aging)</t>
  </si>
  <si>
    <t>Custom field (Analysis Champ)</t>
  </si>
  <si>
    <t>Custom field (Analysis Done Date)</t>
  </si>
  <si>
    <t>Custom field (Analysis Due Date)</t>
  </si>
  <si>
    <t>Custom field (Analysis Report)</t>
  </si>
  <si>
    <t>Custom field (Archived Components)</t>
  </si>
  <si>
    <t>Custom field (Assessment Needed By)</t>
  </si>
  <si>
    <t>Custom field (Baseline End)</t>
  </si>
  <si>
    <t>Custom field (Baseline Start)</t>
  </si>
  <si>
    <t>Custom field (Board(s) Affected)</t>
  </si>
  <si>
    <t>Custom field (Branch Name)</t>
  </si>
  <si>
    <t>Custom field (Bug Category)</t>
  </si>
  <si>
    <t>Custom field (Business Value)</t>
  </si>
  <si>
    <t>Custom field (Business requestor)</t>
  </si>
  <si>
    <t>Custom field (CCB Done Date)</t>
  </si>
  <si>
    <t>Custom field (CCB Outcome)</t>
  </si>
  <si>
    <t>Custom field (CCB Start)</t>
  </si>
  <si>
    <t>Custom field (CDETS Number)</t>
  </si>
  <si>
    <t>Custom field (CMPtoSummary)</t>
  </si>
  <si>
    <t>Custom field (CQ_ID)</t>
  </si>
  <si>
    <t>Custom field (CQ_link)</t>
  </si>
  <si>
    <t>Custom field (CR Implementation effort)</t>
  </si>
  <si>
    <t>Custom field (CR last change)</t>
  </si>
  <si>
    <t>Custom field (CRM issue Assignee)</t>
  </si>
  <si>
    <t>Custom field (CRM issue Data)</t>
  </si>
  <si>
    <t>Custom field (CRM issue ID)</t>
  </si>
  <si>
    <t>Custom field (CRM issue Priority)</t>
  </si>
  <si>
    <t>Custom field (CRM issue Severity)</t>
  </si>
  <si>
    <t>Custom field (CRM issue Status)</t>
  </si>
  <si>
    <t>Custom field (Cause)</t>
  </si>
  <si>
    <t>Custom field (Change Set)</t>
  </si>
  <si>
    <t>Custom field (Cisco Contract)</t>
  </si>
  <si>
    <t>Custom field (Closed Date)</t>
  </si>
  <si>
    <t>Custom field (Committed Date (Plan Date))</t>
  </si>
  <si>
    <t>Custom field (Common Codebase)</t>
  </si>
  <si>
    <t>Custom field (Complexity)</t>
  </si>
  <si>
    <t>Custom field (Config Spec/Change Set)</t>
  </si>
  <si>
    <t>Custom field (Configs Affected)</t>
  </si>
  <si>
    <t>Custom field (Corrective Action)</t>
  </si>
  <si>
    <t>Custom field (Cost Impact)</t>
  </si>
  <si>
    <t>Custom field (Cust Docs Impact (Y/N))</t>
  </si>
  <si>
    <t>Custom field (Custom?)</t>
  </si>
  <si>
    <t>Custom field (Customer Name)</t>
  </si>
  <si>
    <t>Custom field (Customer Needed By)</t>
  </si>
  <si>
    <t>Custom field (DOORS Update Needed)</t>
  </si>
  <si>
    <t>Custom field (DOORS id)</t>
  </si>
  <si>
    <t>Custom field (DaysDeficient)</t>
  </si>
  <si>
    <t>Custom field (Delta Lines)</t>
  </si>
  <si>
    <t>Custom field (Dependencies)</t>
  </si>
  <si>
    <t>Custom field (Deployment tasks)</t>
  </si>
  <si>
    <t>Custom field (Design ID)</t>
  </si>
  <si>
    <t>Custom field (Design Spec)</t>
  </si>
  <si>
    <t>Custom field (Desk Number)</t>
  </si>
  <si>
    <t>Custom field (Detector)</t>
  </si>
  <si>
    <t>Custom field (Device Family)</t>
  </si>
  <si>
    <t>Custom field (Docs Publish From Doc Team Date)</t>
  </si>
  <si>
    <t>Custom field (Document Size)</t>
  </si>
  <si>
    <t>Custom field (Documentation Requirements)</t>
  </si>
  <si>
    <t>Custom field (Documentation Status)</t>
  </si>
  <si>
    <t>Custom field (Due Date Approved)</t>
  </si>
  <si>
    <t>Custom field (DueTime)</t>
  </si>
  <si>
    <t>Custom field (End Date)</t>
  </si>
  <si>
    <t>Custom field (Epic Colour)</t>
  </si>
  <si>
    <t>Custom field (Epic Link)</t>
  </si>
  <si>
    <t>Custom field (Epic Name)</t>
  </si>
  <si>
    <t>Custom field (Epic Status)</t>
  </si>
  <si>
    <t>Custom field (Errata workaround)</t>
  </si>
  <si>
    <t>Custom field (Estimated Impact)</t>
  </si>
  <si>
    <t>Custom field (Execution Type)</t>
  </si>
  <si>
    <t>Custom field (External ID)</t>
  </si>
  <si>
    <t>Custom field (FVcheck)</t>
  </si>
  <si>
    <t>Custom field (FVcomponents)</t>
  </si>
  <si>
    <t>Custom field (FVmnInProgress)</t>
  </si>
  <si>
    <t>Custom field (Final Installer Ready Date)</t>
  </si>
  <si>
    <t>Custom field (Found In)</t>
  </si>
  <si>
    <t>Custom field (Impact / Assessment)</t>
  </si>
  <si>
    <t>Custom field (Impacted BU)</t>
  </si>
  <si>
    <t>Custom field (Impacted Deliverables)</t>
  </si>
  <si>
    <t>Custom field (Impacted Product)</t>
  </si>
  <si>
    <t>Custom field (Improvement Source Description)</t>
  </si>
  <si>
    <t>Custom field (In Attention To?)</t>
  </si>
  <si>
    <t>Custom field (Integrated By)</t>
  </si>
  <si>
    <t>Custom field (Integrated Date)</t>
  </si>
  <si>
    <t>Custom field (Integration Test Plan)</t>
  </si>
  <si>
    <t>Custom field (Integration Test Report)</t>
  </si>
  <si>
    <t>Custom field (Integration Test Result)</t>
  </si>
  <si>
    <t>Custom field (Integration Tester)</t>
  </si>
  <si>
    <t>Custom field (Integrator)</t>
  </si>
  <si>
    <t>Custom field (Internal ID)</t>
  </si>
  <si>
    <t>Custom field (Internal Release Date)</t>
  </si>
  <si>
    <t>Custom field (Issue Cisco Status)</t>
  </si>
  <si>
    <t>Custom field (Issue Sub-status)</t>
  </si>
  <si>
    <t>Custom field (Iteration)</t>
  </si>
  <si>
    <t>Custom field (Jira Project)</t>
  </si>
  <si>
    <t>Custom field (Jira Schema)</t>
  </si>
  <si>
    <t>Custom field (Justification)</t>
  </si>
  <si>
    <t>Custom field (Keywords)</t>
  </si>
  <si>
    <t>Custom field (Klocwork Build)</t>
  </si>
  <si>
    <t>Custom field (Klocwork Project)</t>
  </si>
  <si>
    <t>Custom field (Klocwork Scope)</t>
  </si>
  <si>
    <t>Custom field (LF Finished)</t>
  </si>
  <si>
    <t>Custom field (LF Started)</t>
  </si>
  <si>
    <t>Custom field (LF Ticket)</t>
  </si>
  <si>
    <t>Custom field (Latest End)</t>
  </si>
  <si>
    <t>Custom field (Latest Start)</t>
  </si>
  <si>
    <t>Custom field (Legal Review Status)</t>
  </si>
  <si>
    <t>Custom field (License - OTHER)</t>
  </si>
  <si>
    <t>Custom field (Methodology)</t>
  </si>
  <si>
    <t>Custom field (Milestone)</t>
  </si>
  <si>
    <t>Custom field (NPI)</t>
  </si>
  <si>
    <t>Custom field (NewWork Reason)</t>
  </si>
  <si>
    <t>Custom field (OLD_Reason for OnHold)</t>
  </si>
  <si>
    <t>Custom field (OPR Message)</t>
  </si>
  <si>
    <t>Custom field (OSR Ticket)</t>
  </si>
  <si>
    <t>Custom field (Opportunity Status)</t>
  </si>
  <si>
    <t>Custom field (Original Reporter (role))</t>
  </si>
  <si>
    <t>Custom field (Original Requestor Name)</t>
  </si>
  <si>
    <t>Custom field (Original story points)</t>
  </si>
  <si>
    <t>Custom field (Originator product)</t>
  </si>
  <si>
    <t>Custom field (Other Device Family)</t>
  </si>
  <si>
    <t>Custom field (Outlook Date)</t>
  </si>
  <si>
    <t>Custom field (PDM Issue ID)</t>
  </si>
  <si>
    <t>Custom field (PDM Issue ID_old)</t>
  </si>
  <si>
    <t>Custom field (PL Decision)</t>
  </si>
  <si>
    <t>Custom field (PL Done Date)</t>
  </si>
  <si>
    <t>Custom field (Parent Link)</t>
  </si>
  <si>
    <t>Custom field (Pass Criteria)</t>
  </si>
  <si>
    <t>Custom field (PeerReview Requirement)</t>
  </si>
  <si>
    <t>Custom field (PercentDone)</t>
  </si>
  <si>
    <t>Custom field (Phase Found)</t>
  </si>
  <si>
    <t>Custom field (Phase Originated)</t>
  </si>
  <si>
    <t>Custom field (Planned End)</t>
  </si>
  <si>
    <t>Custom field (Planned Licensing)</t>
  </si>
  <si>
    <t>Custom field (Planned Start)</t>
  </si>
  <si>
    <t>Custom field (Postcondition)</t>
  </si>
  <si>
    <t>Custom field (Precondition)</t>
  </si>
  <si>
    <t>Custom field (Probability)</t>
  </si>
  <si>
    <t>Custom field (Progress)</t>
  </si>
  <si>
    <t>Custom field (Project Category)</t>
  </si>
  <si>
    <t>Custom field (Project Priority)</t>
  </si>
  <si>
    <t>Custom field (Project Status)</t>
  </si>
  <si>
    <t>Custom field (RC1 Date)</t>
  </si>
  <si>
    <t>Custom field (Rank)</t>
  </si>
  <si>
    <t>Custom field (Rank (Obsolete))</t>
  </si>
  <si>
    <t>Custom field (Reason For Deficient)</t>
  </si>
  <si>
    <t>Custom field (Reason To Close)</t>
  </si>
  <si>
    <t>Custom field (Reason To ReOpen)</t>
  </si>
  <si>
    <t>Custom field (Reason To Stop)</t>
  </si>
  <si>
    <t>Custom field (Reason for CCB)</t>
  </si>
  <si>
    <t>Custom field (Reason for OnHold)</t>
  </si>
  <si>
    <t>Custom field (Reason for Rejection)</t>
  </si>
  <si>
    <t>Custom field (Reason for Waiting)</t>
  </si>
  <si>
    <t>Custom field (Reason to Cancel)</t>
  </si>
  <si>
    <t>Custom field (Reject Reason)</t>
  </si>
  <si>
    <t>Custom field (RelNote Visible)</t>
  </si>
  <si>
    <t>Custom field (RelNote Workarounds)</t>
  </si>
  <si>
    <t>Custom field (Release Note)</t>
  </si>
  <si>
    <t>Custom field (Release Packaging)</t>
  </si>
  <si>
    <t>Custom field (Release Type)</t>
  </si>
  <si>
    <t>Custom field (Release Type RC)</t>
  </si>
  <si>
    <t>Custom field (Release package location)</t>
  </si>
  <si>
    <t>Custom field (Reported Build ID)</t>
  </si>
  <si>
    <t>Custom field (Reproducibility)</t>
  </si>
  <si>
    <t>Custom field (Reproducibility - number of attempts)</t>
  </si>
  <si>
    <t>Custom field (Reproducibility - number of fails)</t>
  </si>
  <si>
    <t>Custom field (Req Feasibility)</t>
  </si>
  <si>
    <t>Custom field (Req Level)</t>
  </si>
  <si>
    <t>Custom field (Req Review Proposal)</t>
  </si>
  <si>
    <t>Custom field (Req Targeted Release)</t>
  </si>
  <si>
    <t>Custom field (Req Type)</t>
  </si>
  <si>
    <t>Custom field (Request Type)</t>
  </si>
  <si>
    <t>Custom field (Requester Region)</t>
  </si>
  <si>
    <t>Custom field (Requirement Source)</t>
  </si>
  <si>
    <t>Custom field (Resolution Due Date)</t>
  </si>
  <si>
    <t>Custom field (Resolution Text)</t>
  </si>
  <si>
    <t>Custom field (Resolved Build ID)</t>
  </si>
  <si>
    <t>Custom field (Response Time)</t>
  </si>
  <si>
    <t>Custom field (Reviewer Name)</t>
  </si>
  <si>
    <t>Custom field (Reviewer assigned)</t>
  </si>
  <si>
    <t>Custom field (Revision (commit, tag or label))</t>
  </si>
  <si>
    <t>Custom field (Risk Exposure)</t>
  </si>
  <si>
    <t>Custom field (Risk Source/Category)</t>
  </si>
  <si>
    <t>Custom field (Risk Type)</t>
  </si>
  <si>
    <t>Custom field (Risk consequence)</t>
  </si>
  <si>
    <t>Custom field (Risk probability)</t>
  </si>
  <si>
    <t>Custom field (Root Cause)</t>
  </si>
  <si>
    <t>Custom field (Root Cause (cascading))</t>
  </si>
  <si>
    <t>Custom field (Root Cause - Cisco)</t>
  </si>
  <si>
    <t>Custom field (SDK SRS Update)</t>
  </si>
  <si>
    <t>Custom field (SW RR Options)</t>
  </si>
  <si>
    <t>Custom field (Safety Requirement)</t>
  </si>
  <si>
    <t>Custom field (Severity)</t>
  </si>
  <si>
    <t>Custom field (Skill-set Requirements)</t>
  </si>
  <si>
    <t>Custom field (Source Code Location (repository URL))</t>
  </si>
  <si>
    <t>Sprint</t>
  </si>
  <si>
    <t>Custom field (Start Date)</t>
  </si>
  <si>
    <t>Custom field (Story Points)</t>
  </si>
  <si>
    <t>Custom field (Sub Project)</t>
  </si>
  <si>
    <t>Custom field (Supplier Ticket ID)</t>
  </si>
  <si>
    <t>Custom field (System Test Plan)</t>
  </si>
  <si>
    <t>Custom field (System Test Report)</t>
  </si>
  <si>
    <t>Custom field (System Test Result)</t>
  </si>
  <si>
    <t>Custom field (System Tester)</t>
  </si>
  <si>
    <t>Custom field (Target Finish Date)</t>
  </si>
  <si>
    <t>Custom field (Target end)</t>
  </si>
  <si>
    <t>Custom field (Target start)</t>
  </si>
  <si>
    <t>Custom field (Team)</t>
  </si>
  <si>
    <t>Custom field (Team Role)</t>
  </si>
  <si>
    <t>Custom field (Test Champ)</t>
  </si>
  <si>
    <t>Custom field (Test Level)</t>
  </si>
  <si>
    <t>Custom field (Test Plan)</t>
  </si>
  <si>
    <t>Custom field (Test Procedure)</t>
  </si>
  <si>
    <t>Custom field (Test Report)</t>
  </si>
  <si>
    <t>Custom field (Test Technique)</t>
  </si>
  <si>
    <t>Custom field (Test Type)</t>
  </si>
  <si>
    <t>Custom field (TestCase ID)</t>
  </si>
  <si>
    <t>Custom field (Tester Assigned)</t>
  </si>
  <si>
    <t>Custom field (Ticket Closed)</t>
  </si>
  <si>
    <t>Custom field (Ticket Comments)</t>
  </si>
  <si>
    <t>Custom field (Ticket Created)</t>
  </si>
  <si>
    <t>Custom field (Traceability)</t>
  </si>
  <si>
    <t>Custom field (Unit Test Report)</t>
  </si>
  <si>
    <t>Custom field (Units)</t>
  </si>
  <si>
    <t>Custom field (Upstream Report)</t>
  </si>
  <si>
    <t>Custom field (Verification Criteria)</t>
  </si>
  <si>
    <t>Custom field (Verified Build ID)</t>
  </si>
  <si>
    <t>Custom field (Work Order)</t>
  </si>
  <si>
    <t>Custom field (Work Start)</t>
  </si>
  <si>
    <t>Custom field (Workaround)</t>
  </si>
  <si>
    <t>Custom field (Workaround DueDate)</t>
  </si>
  <si>
    <t>Custom field (qTest Defect Code)</t>
  </si>
  <si>
    <t>Comment</t>
  </si>
  <si>
    <t xml:space="preserve">[OCU] Create Quality package for S32K1XX ASR 4.3 SMCAL RTM 1.0.3 </t>
  </si>
  <si>
    <t>MCAL-26831</t>
  </si>
  <si>
    <t>New Feature</t>
  </si>
  <si>
    <t>In Review</t>
  </si>
  <si>
    <t>MCAL</t>
  </si>
  <si>
    <t>Auto Autosar SMCAL 4.x</t>
  </si>
  <si>
    <t>software</t>
  </si>
  <si>
    <t>nxa12338</t>
  </si>
  <si>
    <t>Git "MCAL" project. _x000D_
Git codebase for Autosar 4.0/4.2. Calypso 4.2, S32K1xx 4.0/4.2, Racerunner Ultra/Skinny/Ultra LE, Carcassonne, Hearst, Treerunner._x000D_
16ffc platforms were moved to Auto Autosar SMCAL 4.3 "AMNG" Jira project.</t>
  </si>
  <si>
    <t>3 - Medium</t>
  </si>
  <si>
    <t>nxf66515</t>
  </si>
  <si>
    <t>nxf68496</t>
  </si>
  <si>
    <t>BLN_SMCAL_4.3_S32K14X_RTM_1.0.3</t>
  </si>
  <si>
    <t>OCU</t>
  </si>
  <si>
    <t>_*NewWorkDescription:*__x000D_
_x000D_
Provide following documents for this release:_x000D_
_x000D_
1. DOORs DXL check result: AUTOSAR_MCAL_&lt;MODULE&gt;_CheckDriverReq.txt_x000D_
2. Traceability: AUTOSAR_MCAL_&lt;MODULE&gt;_TraceabilityMatrix.xls_x000D_
3. Traceability warning report: AUTOSAR_MCAL_&lt;MODULE&gt;_TraceabilityMatrix_Warnings.xls_x000D_
4. VSMD report: AUTOSAR_MCAL_&lt;MODULE&gt;_VSMDReport.html_x000D_
5. VSMD comment &lt;MODULE&gt;_VSMDComments.txt_x000D_
6. Integration manual: AUTOSAR_MCAL_&lt;MODULE&gt;_IM.pdf_x000D_
7. User manual: AUTOSAR_MCAL_&lt;MODULE&gt;_UM.pdf_x000D_
8. IS FMEA Report (AUTOSAR_MCAL_&lt;MODULE&gt;_FMEA.xlsx)_x000D_
9. UML design: AUTOSAR_MCAL_&lt;MODULE&gt;_SDD.eap_x000D_
10.Exclusive area report: AUTOSAR_MCAL_&lt;DRIVER&gt;_EXCLUSIVE_AREAS.xlsx_x000D_
11.CheckDefReport: AUTOSAR_MCAL_&lt;MODULE&gt;_CheckDefsReport.xlsx_x000D_
12. Static analysis report - HIS metric results (Except INT): AUTOSAR_MCAL_&lt;MODULE&gt;_StaticAnalysis_Summary.xlsx_x000D_
_x000D_
_*Requirement source:*__x000D_
Release SOW: [ASR_4.3_S32K1XX_MCAL_RTM_1.0.3_SOW.docx (sharepoint.com)|https://nxp1.sharepoint.com/:w:/r/sites/mcal/_layouts/15/Doc.aspx?sourcedoc=%7B23f365e9-594b-4996-b400-b7b912deefff%7D&amp;action=edit&amp;wdPid=8c87e8f&amp;cid=501a66ee-dc28-4fb8-9443-d16e605cc814]_x000D_
Release Criteria document versionâ€¯2.0â€¯[here|https://bitbucket.sw.nxp.com/projects/ASPA/repos/mcal/browse/Generic/MCAL%20Release%20Criteria.xlsx]â€¯_x000D_
_x000D_
_*Proposed solution -* optional:__x000D_
[OCU] Create Quality package for S32K1XX ASR 4.3 SMCAL RTM 1.0.3Â </t>
  </si>
  <si>
    <t>TOW = Create_x000D_
Description = [OCU] Create Quality package for S32K1XX ASR 4.3 SMCAL RTM 1.0.3;13/Jan/22 3:47 PM;nxf66515;14400</t>
  </si>
  <si>
    <t>TOW = Create_x000D_
Description = [OCU] Create Quality package for S32K1XX ASR 4.3 SMCAL RTM 1.0.3;17/Jan/22 4:14 PM;nxf66515;10800</t>
  </si>
  <si>
    <t>MCAL-26745</t>
  </si>
  <si>
    <t>NO</t>
  </si>
  <si>
    <t xml:space="preserve">================== Projects ================= _x000D_
Analyzed for all platforms: No (Yes/No) _x000D_
Did you review and update, if necessary, the Boards Affected: No (Yes/No) _x000D_
Defect type (Runtime, Compile time, Link time, Configuration, Documentation): NA (NA for </t>
  </si>
  <si>
    <t>S32K14X_4.3</t>
  </si>
  <si>
    <t>ALL/GENERAL</t>
  </si>
  <si>
    <t>(ETHSWT|ETHRCV)_.+</t>
  </si>
  <si>
    <t>Project Start</t>
  </si>
  <si>
    <t>{"buffer":"&lt;div class='aui-message error shadowed'&gt;\n  &lt;p class='title'&gt;\n    &lt;span class='aui-icon icon-error'&gt;&lt;/span&gt;\n    &lt;strong&gt;This issue has Open Pull Request(s). Please close them (or try Update button).&lt;/strong&gt;\n  &lt;/p&gt;\n&lt;/div&gt;"}</t>
  </si>
  <si>
    <t>Management</t>
  </si>
  <si>
    <t>Automotive SQM</t>
  </si>
  <si>
    <t>1|i1xm13:w6</t>
  </si>
  <si>
    <t>PRO_Sprint7</t>
  </si>
  <si>
    <t>PRO_Sprint8</t>
  </si>
  <si>
    <t>Networking</t>
  </si>
  <si>
    <t>List the Test Case IDs: TBC_x000D_
eg &lt;TP01_TC001&gt; â€¦_x000D_
OR:_x000D_
Verified by Pull Request for not testable CRs</t>
  </si>
  <si>
    <t>29/Dec/21 1:47 PM;nxf68496;Cloned from MCAL-26745;;;</t>
  </si>
  <si>
    <t xml:space="preserve">[GPT] Create Quality package for S32K1XX ASR 4.3 SMCAL RTM 1.0.3 </t>
  </si>
  <si>
    <t>MCAL-26828</t>
  </si>
  <si>
    <t>nxf80403</t>
  </si>
  <si>
    <t>GPT</t>
  </si>
  <si>
    <t>_*NewWorkDescription:*__x000D_
_x000D_
Provide following documents for this release:_x000D_
_x000D_
1. DOORs DXL check result: AUTOSAR_MCAL_&lt;MODULE&gt;_CheckDriverReq.txt_x000D_
2. Traceability: AUTOSAR_MCAL_&lt;MODULE&gt;_TraceabilityMatrix.xls_x000D_
3. Traceability warning report: AUTOSAR_MCAL_&lt;MODULE&gt;_TraceabilityMatrix_Warnings.xls_x000D_
4. VSMD report: AUTOSAR_MCAL_&lt;MODULE&gt;_VSMDReport.html_x000D_
5. VSMD comment &lt;MODULE&gt;_VSMDComments.txt_x000D_
6. Integration manual: AUTOSAR_MCAL_&lt;MODULE&gt;_IM.pdf_x000D_
7. User manual: AUTOSAR_MCAL_&lt;MODULE&gt;_UM.pdf_x000D_
8. IS FMEA Report (AUTOSAR_MCAL_&lt;MODULE&gt;_FMEA.xlsx)_x000D_
9. UML design: AUTOSAR_MCAL_&lt;MODULE&gt;_SDD.eap_x000D_
10.Exclusive area report: AUTOSAR_MCAL_&lt;DRIVER&gt;_EXCLUSIVE_AREAS.xlsx_x000D_
11.CheckDefReport: AUTOSAR_MCAL_&lt;MODULE&gt;_CheckDefsReport.xlsx_x000D_
12. Static analysis report - HIS metric results (Except INT): AUTOSAR_MCAL_&lt;MODULE&gt;_StaticAnalysis_Summary.xlsx_x000D_
_x000D_
_*Requirement source:*__x000D_
Release SOW: [ASR_4.3_S32K1XX_MCAL_RTM_1.0.3_SOW.docx (sharepoint.com)|https://nxp1.sharepoint.com/:w:/r/sites/mcal/_layouts/15/Doc.aspx?sourcedoc=%7B23f365e9-594b-4996-b400-b7b912deefff%7D&amp;action=edit&amp;wdPid=8c87e8f&amp;cid=501a66ee-dc28-4fb8-9443-d16e605cc814]_x000D_
Release Criteria document versionâ€¯2.0â€¯[here|https://bitbucket.sw.nxp.com/projects/ASPA/repos/mcal/browse/Generic/MCAL%20Release%20Criteria.xlsx]â€¯_x000D_
_x000D_
_*Proposed solution -* optional:__x000D_
[GPT] Create Quality package for S32K1XX ASR 4.3 SMCAL RTM 1.0.3Â </t>
  </si>
  <si>
    <t>TOW = Create
Description = Create quality package for Jan release;14/Jan/22 5:14 PM;nxf80403;10800</t>
  </si>
  <si>
    <t>TOW = Create_x000D_
Description = [GPT] Create Quality package for S32K1XX ASR 4.3 SMCAL RTM 1.0.3;18/Jan/22 4:13 PM;nxf66515;900</t>
  </si>
  <si>
    <t>TOW = Create_x000D_
Description = [OCU] Create Quality package for S32K1XX ASR 4.3 SMCAL RTM 1.0.3;19/Jan/22 4:04 PM;nxf66515;14400</t>
  </si>
  <si>
    <t>================== Projects ================= _x000D_
Analyzed for all platforms: Yes(Yes/No) _x000D_
Did you review and update, if necessary, the Boards Affected: No (Yes/No) _x000D_
Defect type (Runtime, Compile time, Link time, Configuration, Documentation): NA(NA for N</t>
  </si>
  <si>
    <t>Requirements</t>
  </si>
  <si>
    <t>1|i1xm13:wc</t>
  </si>
  <si>
    <t xml:space="preserve">[PWM] Create Quality package for S32K1XX ASR 4.3 SMCAL RTM 1.0.3 </t>
  </si>
  <si>
    <t>MCAL-26829</t>
  </si>
  <si>
    <t>nxf66513</t>
  </si>
  <si>
    <t>PWM</t>
  </si>
  <si>
    <t>_*NewWorkDescription:*__x000D_
_x000D_
Provide following documents for this release:_x000D_
_x000D_
1. DOORs DXL check result: AUTOSAR_MCAL_&lt;MODULE&gt;_CheckDriverReq.txt_x000D_
2. Traceability: AUTOSAR_MCAL_&lt;MODULE&gt;_TraceabilityMatrix.xls_x000D_
3. Traceability warning report: AUTOSAR_MCAL_&lt;MODULE&gt;_TraceabilityMatrix_Warnings.xls_x000D_
4. VSMD report: AUTOSAR_MCAL_&lt;MODULE&gt;_VSMDReport.html_x000D_
5. VSMD comment &lt;MODULE&gt;_VSMDComments.txt_x000D_
6. Integration manual: AUTOSAR_MCAL_&lt;MODULE&gt;_IM.pdf_x000D_
7. User manual: AUTOSAR_MCAL_&lt;MODULE&gt;_UM.pdf_x000D_
8. IS FMEA Report (AUTOSAR_MCAL_&lt;MODULE&gt;_FMEA.xlsx)_x000D_
9. UML design: AUTOSAR_MCAL_&lt;MODULE&gt;_SDD.eap_x000D_
10.Exclusive area report: AUTOSAR_MCAL_&lt;DRIVER&gt;_EXCLUSIVE_AREAS.xlsx_x000D_
11.CheckDefReport: AUTOSAR_MCAL_&lt;MODULE&gt;_CheckDefsReport.xlsx_x000D_
12. Static analysis report - HIS metric results (Except INT): AUTOSAR_MCAL_&lt;MODULE&gt;_StaticAnalysis_Summary.xlsx_x000D_
_x000D_
_*Requirement source:*__x000D_
Release SOW: [ASR_4.3_S32K1XX_MCAL_RTM_1.0.3_SOW.docx (sharepoint.com)|https://nxp1.sharepoint.com/:w:/r/sites/mcal/_layouts/15/Doc.aspx?sourcedoc=%7B23f365e9-594b-4996-b400-b7b912deefff%7D&amp;action=edit&amp;wdPid=8c87e8f&amp;cid=501a66ee-dc28-4fb8-9443-d16e605cc814]_x000D_
Release Criteria document versionâ€¯2.0â€¯[here|https://bitbucket.sw.nxp.com/projects/ASPA/repos/mcal/browse/Generic/MCAL%20Release%20Criteria.xlsx]â€¯_x000D_
_x000D_
_*Proposed solution -* optional:__x000D_
[PWM] Create Quality package for S32K1XX ASR 4.3 SMCAL RTM 1.0.3Â </t>
  </si>
  <si>
    <t>TOW = Create_x000D_
Description = Create quality package for Jan release;13/Jan/22 5:04 PM;nxf66513;3600</t>
  </si>
  <si>
    <t>TOW = Create
Description = Create quality package for Jan release;20/Jan/22 10:45 AM;nxf66513;3600</t>
  </si>
  <si>
    <t>================== Projects ================= _x000D_
Analyzed for all platforms: Yes(Yes/No) _x000D_
Did you review and update, if necessary, the Boards Affected: No(Yes/No) _x000D_
Defect type (Runtime, Compile time, Link time, Configuration, Documentation): NAÂ  (NA for</t>
  </si>
  <si>
    <t>1|i1xm13:wi</t>
  </si>
  <si>
    <t>YES</t>
  </si>
  <si>
    <t xml:space="preserve">[ICU] Create Quality package for S32K1XX ASR 4.3 SMCAL RTM 1.0.3 </t>
  </si>
  <si>
    <t>MCAL-26830</t>
  </si>
  <si>
    <t>nxf78982</t>
  </si>
  <si>
    <t>ICU</t>
  </si>
  <si>
    <t>_*NewWorkDescription:*__x000D_
_x000D_
Provide following documents for this release:_x000D_
_x000D_
1. DOORs DXL check result: AUTOSAR_MCAL_&lt;MODULE&gt;_CheckDriverReq.txt_x000D_
2. Traceability: AUTOSAR_MCAL_&lt;MODULE&gt;_TraceabilityMatrix.xls_x000D_
3. Traceability warning report: AUTOSAR_MCAL_&lt;MODULE&gt;_TraceabilityMatrix_Warnings.xls_x000D_
4. VSMD report: AUTOSAR_MCAL_&lt;MODULE&gt;_VSMDReport.html_x000D_
5. VSMD comment &lt;MODULE&gt;_VSMDComments.txt_x000D_
6. Integration manual: AUTOSAR_MCAL_&lt;MODULE&gt;_IM.pdf_x000D_
7. User manual: AUTOSAR_MCAL_&lt;MODULE&gt;_UM.pdf_x000D_
8. IS FMEA Report (AUTOSAR_MCAL_&lt;MODULE&gt;_FMEA.xlsx)_x000D_
9. UML design: AUTOSAR_MCAL_&lt;MODULE&gt;_SDD.eap_x000D_
10.Exclusive area report: AUTOSAR_MCAL_&lt;DRIVER&gt;_EXCLUSIVE_AREAS.xlsx_x000D_
11.CheckDefReport: AUTOSAR_MCAL_&lt;MODULE&gt;_CheckDefsReport.xlsx_x000D_
12. Static analysis report - HIS metric results (Except INT): AUTOSAR_MCAL_&lt;MODULE&gt;_StaticAnalysis_Summary.xlsx_x000D_
_x000D_
_*Requirement source:*__x000D_
Release SOW: [ASR_4.3_S32K1XX_MCAL_RTM_1.0.3_SOW.docx (sharepoint.com)|https://nxp1.sharepoint.com/:w:/r/sites/mcal/_layouts/15/Doc.aspx?sourcedoc=%7B23f365e9-594b-4996-b400-b7b912deefff%7D&amp;action=edit&amp;wdPid=8c87e8f&amp;cid=501a66ee-dc28-4fb8-9443-d16e605cc814]_x000D_
Release Criteria document versionâ€¯2.0â€¯[here|https://bitbucket.sw.nxp.com/projects/ASPA/repos/mcal/browse/Generic/MCAL%20Release%20Criteria.xlsx]â€¯_x000D_
_x000D_
_*Proposed solution -* optional:__x000D_
[ICU] Create Quality package for S32K1XX ASR 4.3 SMCAL RTM 1.0.3Â </t>
  </si>
  <si>
    <t>TOW = Create
Description = [ICU] Create Quality package for S32K1XX ASR 4.3 SMCAL RTM 1.0.3 ;13/Jan/22 5:09 PM;nxf78982;3600</t>
  </si>
  <si>
    <t>TOW = Create 
Description = [ICU] Create Quality package for S32K1XX ASR 4.3 SMCAL RTM 1.0.3 ;13/Jan/22 5:09 PM;nxf78982;10800</t>
  </si>
  <si>
    <t>TOW = Create
Description = [ICU] Create Quality package for S32K1XX ASR 4.3 SMCAL RTM 1.0.3 ;14/Jan/22 4:57 PM;nxf78982;3600</t>
  </si>
  <si>
    <t>TOW = Create
Description = [ICU] Create Quality package for S32K1XX ASR 4.3 SMCAL RTM 1.0.3 ;14/Jan/22 4:57 PM;nxf78982;10800</t>
  </si>
  <si>
    <t>TOW = Create
Description = [ICU] Create Quality package for S32K1XX ASR 4.3 SMCAL RTM 1.0.3 ;17/Jan/22 5:44 PM;nxf78982;7200</t>
  </si>
  <si>
    <t>TOW = Create
Description = [ICU] Create Quality package for S32K1XX ASR 4.3 SMCAL RTM 1.0.3 ;17/Jan/22 5:45 PM;nxf78982;10800</t>
  </si>
  <si>
    <t>TOW:Create
Description:Finish QPs for Dev;18/Jan/22 5:05 PM;nxf78982;3600</t>
  </si>
  <si>
    <t>TOW:Create
Description:Finish Qps for Dev;19/Jan/22 4:39 PM;nxf78982;720</t>
  </si>
  <si>
    <t>================== Projects ================= _x000D_
Analyzed for all platforms: Yes(Yes/No) _x000D_
Did you review and update, if necessary, the Boards Affected: No(Yes/No) _x000D_
Defect type (Runtime, Compile time, Link time, Configuration, Documentation): NA(NA for Ne</t>
  </si>
  <si>
    <t>1|i1xm13:wo</t>
  </si>
  <si>
    <t>[OCU] ITG Create quality package for S32K1XX ASR 4.3 MCAL RTM 1.0.3</t>
  </si>
  <si>
    <t>AAT-13330</t>
  </si>
  <si>
    <t>AAT</t>
  </si>
  <si>
    <t>Auto Autosar Test SMCAL 4.x</t>
  </si>
  <si>
    <t>nxa07982</t>
  </si>
  <si>
    <t>Tests for git "MCAL" project. Git test codebase for Autosar 4.0/4.2. Calypso 4.2, S32K1xx 4.0/4.2, Racerunner Ultra/Skinny/Ultra LE, Carcassonne, Hearst, Treerunner</t>
  </si>
  <si>
    <t>BLN_TEST_SMCAL_4.3_S32K14X_RTM_1.0.3</t>
  </si>
  <si>
    <t>_*NewWorkDescription:*__x000D_
_x000D_
Create the following documents. Note that some of them might be done earlier in other tickets, and the scope of this ticket is to centralize the information and ensure all following documents are available at the release date.Â _x000D_
 * LDRA report (Except INT): &lt;MODULE&gt;_LDRA.zipÂ _x000D_
 * Code coverage merged report (Except INT): AUTOSAR_MCAL_&lt;MODULE&gt;_CodeCoverageReport.txtÂ _x000D_
 * Code coverage summary report (Except INT): AUTOSAR_MCAL_&lt;MODULE&gt;_CodeCoverage_Summary.xlsxÂ _x000D_
 * Static analysis report - HIS metric results (Except INT): AUTOSAR_MCAL_&lt;MODULE&gt;_StaticAnalysis_Summary.xlsxÂ _x000D_
 * MISRA summary report (Except INT): AUTOSAR_MCAL_&lt;MODULE&gt;_MisraReport.xlsxÂ _x000D_
_x000D_
 * Misra log: &lt;Msn&gt;{_}misra.zip under test{_}&lt;msn&gt;\doc\MISRA_reportsÂ _x000D_
 * Profile report (Except INT): AUTOSAR_MCAL_ADC_ProfileReport.xlsxÂ _x000D_
 * Profiling log &lt;Msn&gt;{_}profiling.zip under test{_}&lt;msn&gt;\doc\profile_reportsÂ _x000D_
 * Code size/stack usage report (Except INT): AUTOSAR_MCAL_&lt;MODULE&gt;_SizeReport.xlsxÂ _x000D_
 * RAM size report (Except INT): AUTOSAR_MCAL_MCU_RamSizeReport.xlsxÂ _x000D_
_x000D_
 * Compiler warningÂ report (Except INT): AUTOSAR_MCAL_Compiler_Warnings_Report.xlsxÂ _x000D_
 * Test report archive (exception: BASE and RESOURCE): &lt;CompilerX&gt;.zipÂ _x000D_
 * Test summary report for each module (exception: BASE and RESOURCE): AUTOSAR_MCAL_&lt;MODULE&gt;_SummaryTestReport.htmlÂ _x000D_
 * Test Specification: AUTOSAR_&lt;MODULE&gt;_TS.pdfÂ _x000D_
 * Test traceability log report: &lt;Module&gt;_MCAL_TM_log.txtÂ _x000D_
_x000D_
 * Requirement - Test case mapping: &lt;Module&gt;_MCAL_TM.txtÂ _x000D_
 * EqClass Analysis API Report (EqClass_Analysis_API_&lt;version&gt;.xlsx);_x000D_
EqClass Analysis API Configuration Report (EqClass_Analysis_Configuration_&lt;version&gt;.xlsx)_x000D_
_x000D_
*Requirement source:*Â _x000D_
_x000D_
- ITG MCAL test release acceptation procedure, version 1.8, April, 2016:Â Â _x000D_
[https://nxp1.sharepoint.com/:w:/r/sites/mcal/_layouts/15/Doc.aspx?sourcedoc=%7B281107C4-5F09-4945-BA91-70F1477EFA94%7D&amp;file=ITG_SMCAL_Release_Acceptence_Procedure.docx&amp;action=default&amp;mobileredirect=true] Â _x000D_
- Release SOW:Â [ASR_4.3_S32K1XX_MCAL_RTM_1.0.3_SOW.docx (sharepoint.com)|https://nxp1.sharepoint.com/:w:/r/sites/mcal/_layouts/15/Doc.aspx?sourcedoc=%7B23f365e9-594b-4996-b400-b7b912deefff%7D&amp;action=edit&amp;wdPid=8c87e8f&amp;cid=501a66ee-dc28-4fb8-9443-d16e605cc814]_x000D_
- Release Criteria document versionâ€¯2.0â€¯[here|https://bitbucket.sw.nxp.com/projects/ASPA/repos/mcal/browse/Generic/MCAL%20Release%20Criteria.xlsx]â€¯_x000D_
_x000D_
*Proposed solution (Optional):*Â Â _x000D_
_x000D_
[...]</t>
  </si>
  <si>
    <t>TOW = Create_x000D_
Description = [OCU] ITG Create Quality package for S32K1XX ASR 4.3 SMCAL RTM 1.0.3;18/Jan/22 4:14 PM;nxf66515;14400</t>
  </si>
  <si>
    <t>AAT-13289</t>
  </si>
  <si>
    <t>================== Projects =================_x000D_
Analyzed for all platforms: No (Yes/No)_x000D_
Did you review and update, if necessary, the Board(s) Affected: Yes (Yes/No)_x000D_
For ALL/GENERAL CRs, did you review the impacted modules and if necessary, did you create</t>
  </si>
  <si>
    <t>Automotive</t>
  </si>
  <si>
    <t>1|i1xm13:wu</t>
  </si>
  <si>
    <t>29/Dec/21 1:53 PM;nxf68496;Cloned from AAT-13289;;;</t>
  </si>
  <si>
    <t>[GPT] ITG Create quality package for S32K1XX ASR 4.3 MCAL RTM 1.0.3</t>
  </si>
  <si>
    <t>AAT-13327</t>
  </si>
  <si>
    <t>TOW = Create_x000D_
Description = [GPT] ITG Create Quality package for S32K1XX ASR 4.3 SMCAL RTM 1.0.3;18/Jan/22 4:12 PM;nxf66515;900</t>
  </si>
  <si>
    <t>TOW:Create
Description:Create Qps for Jan realse;19/Jan/22 5:21 PM;nxf80403;16200</t>
  </si>
  <si>
    <t>================== Projects =================_x000D_
Analyzed for all platforms: (Yes/No)_x000D_
Did you review and update, if necessary, the Board(s) Affected: (Yes/No)_x000D_
For ALL/GENERAL CRs, did you review the impacted modules and if necessary, did you create additi</t>
  </si>
  <si>
    <t>Test Code and Specification</t>
  </si>
  <si>
    <t>1|i1xm13:x</t>
  </si>
  <si>
    <t>[PWM] ITG Create quality package for S32K1XX ASR 4.3 MCAL RTM 1.0.3</t>
  </si>
  <si>
    <t>AAT-13328</t>
  </si>
  <si>
    <t>TOW = Create_x000D_
Description = Create quality package for Jan release;17/Jan/22 4:44 PM;nxf66513;3600</t>
  </si>
  <si>
    <t>TOW:Create
Description:Create quality package for Jan release;18/Jan/22 5:07 PM;nxf66513;3600</t>
  </si>
  <si>
    <t>1|i1xm13:x6</t>
  </si>
  <si>
    <t>[ICU] ITG Create quality package for S32K1XX ASR 4.3 MCAL RTM 1.0.3</t>
  </si>
  <si>
    <t>AAT-13329</t>
  </si>
  <si>
    <t>nxf72763</t>
  </si>
  <si>
    <t>TOW:Create
Description:ITG Create quality package for S32K1XX ASR 4.3 MCAL RTM 1.0.3;20/Jan/22 3:09 PM;nxf72763;18000</t>
  </si>
  <si>
    <t>================== Projects =================_x000D_
Analyzed for all platforms: Yes(Yes/No)_x000D_
Did you review and update, if necessary, the Board(s) Affected:Yes(Yes/No)_x000D_
For ALL/GENERAL CRs, did you review the impacted modules and if necessary, did you create a</t>
  </si>
  <si>
    <t>Test Report</t>
  </si>
  <si>
    <t>1|i1xm13:xc</t>
  </si>
  <si>
    <t>[GPT] Create quality package forâ€¯S32R294 4.4 SMCAL CCT 1.2.0</t>
  </si>
  <si>
    <t>AATNG-6835</t>
  </si>
  <si>
    <t>Open</t>
  </si>
  <si>
    <t>AATNG</t>
  </si>
  <si>
    <t>Auto Autosar Test SMCAL 4.3</t>
  </si>
  <si>
    <t>Tests for git "AMNG" project. Git test codebase for Autosar 4.3 for Common Chassis and S32K2, S32M products</t>
  </si>
  <si>
    <t>FBR_02_TEST_SMCAL_4.4_S32R294_1.0.2_00</t>
  </si>
  <si>
    <t>_*NewWorkDescription:*__x000D_
_x000D_
Create quality package for Â S32R2794 4.4 MCAL FBR 1.2.0:_x000D_
 * Test archivesâ€¯_x000D_
 * Test Summary Reportâ€¯_x000D_
 * Compiler warnings report_x000D_
 * EPDâ€¯Test Results_x000D_
_x000D_
*Requirement source:*Â _x000D_
_x000D_
ITG MCAL test release acceptation procedure, version 1.8, April, 2016:Â Â _x000D_
[https://nxp1.sharepoint.com/:w:/r/sites/mcal/_layouts/15/Doc.aspx?sourcedoc=%7B281107C4-5F09-4945-BA91-70F1477EFA94%7D&amp;file=ITG_SMCAL_Release_Acceptence_Procedure.docx&amp;action=default&amp;mobileredirect=true]Â Â _x000D_
_x000D_
*Proposed solution (Optional):*Â Â _x000D_
_x000D_
N/AÂ </t>
  </si>
  <si>
    <t>AATNG-6814</t>
  </si>
  <si>
    <t>S32R294</t>
  </si>
  <si>
    <t>Ready For RRR</t>
  </si>
  <si>
    <t>1|i1xm13:xi</t>
  </si>
  <si>
    <t>[ICU] Create quality package forâ€¯S32R294 4.4 SMCAL CCT 1.2.0</t>
  </si>
  <si>
    <t>AATNG-6836</t>
  </si>
  <si>
    <t>1|i1xm13:xo</t>
  </si>
  <si>
    <t>[PWM] Create quality package forâ€¯S32R294 4.4 SMCAL CCT 1.2.0</t>
  </si>
  <si>
    <t>AATNG-6837</t>
  </si>
  <si>
    <t>1|i1xm13:xu</t>
  </si>
  <si>
    <t>[GPT] Update configuration wiring and external test class for S32R294 4.4 SMCAL CCT 1.2.0</t>
  </si>
  <si>
    <t>AATNG-6853</t>
  </si>
  <si>
    <t>Story</t>
  </si>
  <si>
    <t>_*NewWorkDescription:*__x000D_
_x000D_
Update configuration for RC test cycle of S32R294 4.4 SMCAL CCT 1.2.0:_x000D_
_x000D_
Â - Wiring Tests_x000D_
_x000D_
Â - External Tests_x000D_
_x000D_
Â - External Fault Injection Tests_x000D_
_x000D_
*Requirement source:*Â _x000D_
_x000D_
ITG MCAL test release acceptation procedure, version 1.8, April 2016:Â _x000D_
[https://nxp1.sharepoint.com/:w:/r/sites/mcal/_layouts/15/Doc.aspx?sourcedoc=%7B281107C4-5F09-4945-BA91-70F1477EFA94%7D&amp;file=ITG_SMCAL_Release_Acceptence_Procedure.docx&amp;action=default&amp;mobileredirect=true]Â Â _x000D_
_x000D_
*Proposed solution (Optional):*Â Â _x000D_
_x000D_
N/A</t>
  </si>
  <si>
    <t>AATNG-6843</t>
  </si>
  <si>
    <t>AATNG-6813</t>
  </si>
  <si>
    <t>Testing Code Complete</t>
  </si>
  <si>
    <t>1|i1xm14:</t>
  </si>
  <si>
    <t>[ICU] Update configuration wiring and external test class for S32R294 4.4 SMCAL CCT 1.2.0</t>
  </si>
  <si>
    <t>AATNG-6854</t>
  </si>
  <si>
    <t>1|i1xm1c:</t>
  </si>
  <si>
    <t>[PWM] Update configuration wiring and external test class for S32R294 4.4 SMCAL CCT 1.2.0</t>
  </si>
  <si>
    <t>AATNG-6855</t>
  </si>
  <si>
    <t>1|i1xm1k:</t>
  </si>
  <si>
    <t>[GPT] Update configuration internal, GO, CO test class for S32R294 4.4 SMCAL CCT 1.2.0</t>
  </si>
  <si>
    <t>AATNG-6866</t>
  </si>
  <si>
    <t>Update configuration for RC test cycle of S32R294 4.4 SMCAL CCT 1.2.0:_x000D_
_x000D_
Â - Internal Tests_x000D_
_x000D_
Â - Internal Fault Injection Tests_x000D_
 - Generate, Compile Only Tests_x000D_
_x000D_
*Requirement source:*Â _x000D_
_x000D_
ITG MCAL test release acceptation procedure, version 1.8, April 2016:Â _x000D_
[https://nxp1.sharepoint.com/:w:/r/sites/mcal/_layouts/15/Doc.aspx?sourcedoc=%7B281107C4-5F09-4945-BA91-70F1477EFA94%7D&amp;file=ITG_SMCAL_Release_Acceptence_Procedure.docx&amp;action=default&amp;mobileredirect=true]Â Â _x000D_
_x000D_
*Proposed solution (Optional):*Â Â _x000D_
_x000D_
N/A</t>
  </si>
  <si>
    <t>AATNG-6844</t>
  </si>
  <si>
    <t>1|i1xm1o:</t>
  </si>
  <si>
    <t>[ICU] Update configuration internal, GO, CO test class for S32R294 4.4 SMCAL CCT 1.2.0</t>
  </si>
  <si>
    <t>AATNG-6868</t>
  </si>
  <si>
    <t>1|i1xm1r:</t>
  </si>
  <si>
    <t>[PWM] Update configuration internal, GO, CO test class for S32R294 4.4 SMCAL CCT 1.2.0</t>
  </si>
  <si>
    <t>AATNG-6872</t>
  </si>
  <si>
    <t>1|i1xm1u:</t>
  </si>
  <si>
    <t>[GPT] Create/Update test plan for S32R294 4.4 SMCAL CCT 1.2.0</t>
  </si>
  <si>
    <t>AATNG-6880</t>
  </si>
  <si>
    <t>_*NewWorkDescription:*__x000D_
Create a test plan for S32R294 4.4 SMCAL CCT 1.2.0 provided in the below link:_x000D_
Link:Â [https://nxp1.sharepoint.com/:f:/s/mcal/Eubjk4PCC_lMjZxWvlKrZ8sBPFaLyEkD-BBEIZXNAvQLvw?e=FnxdYT]_x000D_
All modules must be filled with the test plan in the same column "{*}H{*}" in each sheet. For some specific modules, some blank columns can be skipped to reach column "{*}H{*}"._x000D_
_x000D_
_*Requirement source:*__x000D_
ITG MCAL test release acceptation procedure, version 1.8, April 2016:_x000D_
[https://nxp1.sharepoint.com/:w:/r/sites/mcal/_layouts/15/Doc.aspx?sourcedoc=%7B281107C4-5F09-4945-BA91-70F1477EFA94%7D&amp;file=ITG_SMCAL_Release_Acceptence_Procedure.docx&amp;action=default&amp;mobileredirect=true]_x000D_
|Release Criteria document versionÂ 2.0Â |[*LINK*Â |https://bitbucket.sw.nxp.com/projects/ASPA/repos/mcal/browse/Generic/MCAL%20Release%20Criteria.xlsx]|_x000D_
_x000D_
_*Proposed solution -*Â optional:__x000D_
NA</t>
  </si>
  <si>
    <t>AATNG-6845</t>
  </si>
  <si>
    <t>1|i1xm1x:</t>
  </si>
  <si>
    <t>[ICU] Create/Update test plan for S32R294 4.4 SMCAL CCT 1.2.0</t>
  </si>
  <si>
    <t>AATNG-6882</t>
  </si>
  <si>
    <t>1|i1xm20:</t>
  </si>
  <si>
    <t>[PWM] Create/Update test plan for S32R294 4.4 SMCAL CCT 1.2.0</t>
  </si>
  <si>
    <t>AATNG-6886</t>
  </si>
  <si>
    <t>1|i1xm24:</t>
  </si>
  <si>
    <t>Ticket ID</t>
  </si>
  <si>
    <t>Desription</t>
  </si>
  <si>
    <t>Project</t>
  </si>
  <si>
    <t>Default Point</t>
  </si>
  <si>
    <t>Scope</t>
  </si>
  <si>
    <t xml:space="preserve">Technical </t>
  </si>
  <si>
    <t xml:space="preserve">Độ am hiểu của PIC </t>
  </si>
  <si>
    <t>Risk</t>
  </si>
  <si>
    <t>StoryPoint</t>
  </si>
  <si>
    <t>Small</t>
  </si>
  <si>
    <t>Easy</t>
  </si>
  <si>
    <t>Chi can lam theo guideline</t>
  </si>
  <si>
    <t>Low</t>
  </si>
  <si>
    <t>Hard</t>
  </si>
  <si>
    <t>Muc technical leader moi lam duoc</t>
  </si>
  <si>
    <t>Blocker</t>
  </si>
  <si>
    <t>Can hieu ro moi lam duoc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</si>
</sst>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1"/>
      <color theme="1"/>
      <name val="Calibri"/>
      <family val="2"/>
      <scheme val="minor"/>
    </font>
    <font>
      <sz val="13"/>
      <color theme="1"/>
      <name val="Times New Roman"/>
      <family val="1"/>
    </font>
    <font>
      <sz val="11"/>
      <color theme="1"/>
      <name val="Times New Roman"/>
      <family val="1"/>
    </font>
    <font>
      <b/>
      <sz val="11"/>
      <color theme="1"/>
      <name val="Times New Roman"/>
      <family val="1"/>
    </font>
  </fonts>
  <fills count="4">
    <fill>
      <patternFill patternType="none"/>
    </fill>
    <fill>
      <patternFill patternType="gray125"/>
    </fill>
    <fill>
      <patternFill patternType="solid">
        <fgColor rgb="FF33CCFF"/>
        <bgColor indexed="64"/>
      </patternFill>
    </fill>
    <fill>
      <patternFill patternType="solid">
        <fgColor rgb="FFFFFF0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5">
    <xf numFmtId="0" fontId="0" fillId="0" borderId="0" xfId="0"/>
    <xf numFmtId="0" fontId="1" fillId="0" borderId="0" xfId="0" applyFont="1"/>
    <xf numFmtId="0" fontId="1" fillId="0" borderId="1" xfId="0" applyFont="1" applyBorder="1" applyAlignment="1">
      <alignment shrinkToFit="1"/>
    </xf>
    <xf numFmtId="0" fontId="1" fillId="2" borderId="1" xfId="0" applyFont="1" applyFill="1" applyBorder="1" applyAlignment="1">
      <alignment shrinkToFit="1"/>
    </xf>
    <xf numFmtId="0" fontId="2" fillId="0" borderId="0" xfId="0" applyFont="1"/>
    <xf numFmtId="0" fontId="1" fillId="0" borderId="0" xfId="0" applyFont="1" applyAlignment="1">
      <alignment horizontal="center" vertical="center"/>
    </xf>
    <xf numFmtId="0" fontId="3" fillId="0" borderId="0" xfId="0" applyFont="1"/>
    <xf numFmtId="0" fontId="1" fillId="3" borderId="0" xfId="0" applyFont="1" applyFill="1"/>
    <xf numFmtId="0" fontId="1" fillId="2" borderId="3" xfId="0" applyFont="1" applyFill="1" applyBorder="1" applyAlignment="1">
      <alignment horizontal="center" vertical="center" shrinkToFit="1"/>
    </xf>
    <xf numFmtId="0" fontId="1" fillId="2" borderId="2" xfId="0" applyFont="1" applyFill="1" applyBorder="1" applyAlignment="1">
      <alignment horizontal="center" vertical="center" shrinkToFit="1"/>
    </xf>
    <xf numFmtId="0" fontId="1" fillId="2" borderId="3" xfId="0" applyFont="1" applyFill="1" applyBorder="1" applyAlignment="1">
      <alignment horizontal="center" vertical="center" wrapText="1" shrinkToFit="1"/>
    </xf>
    <xf numFmtId="0" fontId="1" fillId="2" borderId="2" xfId="0" applyFont="1" applyFill="1" applyBorder="1" applyAlignment="1">
      <alignment horizontal="center" vertical="center" wrapText="1" shrinkToFit="1"/>
    </xf>
    <xf numFmtId="0" fontId="1" fillId="2" borderId="4" xfId="0" applyFont="1" applyFill="1" applyBorder="1" applyAlignment="1">
      <alignment horizontal="center" shrinkToFit="1"/>
    </xf>
    <xf numFmtId="0" fontId="1" fillId="2" borderId="5" xfId="0" applyFont="1" applyFill="1" applyBorder="1" applyAlignment="1">
      <alignment horizontal="center" shrinkToFit="1"/>
    </xf>
    <xf numFmtId="0" fontId="1" fillId="2" borderId="6" xfId="0" applyFont="1" applyFill="1" applyBorder="1" applyAlignment="1">
      <alignment horizontal="center" shrinkToFit="1"/>
    </xf>
  </cellXfs>
  <cellStyles count="1">
    <cellStyle name="Normal" xfId="0" builtinId="0"/>
  </cellStyles>
  <dxfs count="0"/>
  <tableStyles count="0" defaultTableStyle="TableStyleMedium2" defaultPivotStyle="PivotStyleLight16"/>
  <colors>
    <mruColors>
      <color rgb="FF33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590550</xdr:colOff>
          <xdr:row>1</xdr:row>
          <xdr:rowOff>95250</xdr:rowOff>
        </xdr:from>
        <xdr:to>
          <xdr:col>12</xdr:col>
          <xdr:colOff>0</xdr:colOff>
          <xdr:row>3</xdr:row>
          <xdr:rowOff>142875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xdr:colOff>
          <xdr:row>1</xdr:row>
          <xdr:rowOff>9525</xdr:rowOff>
        </xdr:from>
        <xdr:to>
          <xdr:col>15</xdr:col>
          <xdr:colOff>28575</xdr:colOff>
          <xdr:row>2</xdr:row>
          <xdr:rowOff>180975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Get backlog info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5"/>
  <sheetViews>
    <sheetView workbookViewId="0">
      <selection activeCell="G12" sqref="G12"/>
    </sheetView>
  </sheetViews>
  <sheetFormatPr defaultRowHeight="16.5"/>
  <cols>
    <col min="1" max="1" width="9.140625" style="1"/>
    <col min="2" max="2" width="12.5703125" style="1" bestFit="1" customWidth="1"/>
    <col min="3" max="16384" width="9.140625" style="1"/>
  </cols>
  <sheetData>
    <row r="1" spans="1:2">
      <c r="A1" s="1" t="s">
        <v>0</v>
      </c>
      <c r="B1" s="1" t="s">
        <v>1</v>
      </c>
    </row>
    <row r="2" spans="1:2">
      <c r="A2" s="1">
        <v>1</v>
      </c>
      <c r="B2" s="1" t="s">
        <v>2</v>
      </c>
    </row>
    <row r="3" spans="1:2">
      <c r="A3" s="1">
        <v>2</v>
      </c>
      <c r="B3" s="1" t="s">
        <v>3</v>
      </c>
    </row>
    <row r="4" spans="1:2">
      <c r="A4" s="1">
        <v>3</v>
      </c>
      <c r="B4" s="1" t="s">
        <v>4</v>
      </c>
    </row>
    <row r="5" spans="1:2">
      <c r="A5" s="1">
        <v>4</v>
      </c>
      <c r="B5" s="1" t="s">
        <v>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5:J17"/>
  <sheetViews>
    <sheetView workbookViewId="0">
      <selection activeCell="K15" sqref="K15"/>
    </sheetView>
  </sheetViews>
  <sheetFormatPr defaultRowHeight="15"/>
  <cols>
    <col min="1" max="1" width="8.7109375" style="4" customWidth="1"/>
    <col min="2" max="2" width="80.7109375" style="4" customWidth="1"/>
    <col min="3" max="3" width="8.5703125" style="4" bestFit="1" customWidth="1"/>
    <col min="4" max="4" width="9.7109375" style="4" customWidth="1"/>
    <col min="5" max="6" width="7.7109375" style="4" customWidth="1"/>
    <col min="7" max="7" width="15.7109375" style="4" customWidth="1"/>
    <col min="8" max="8" width="7.7109375" style="4" customWidth="1"/>
    <col min="9" max="16384" width="9.140625" style="4"/>
  </cols>
  <sheetData>
    <row r="5" spans="1:10" ht="16.5" customHeight="1">
      <c r="A5" s="6"/>
      <c r="B5" s="6"/>
      <c r="C5" s="6"/>
      <c r="D5" s="6"/>
      <c r="E5" s="6"/>
      <c r="F5" s="6"/>
      <c r="G5" s="6"/>
      <c r="H5" s="6"/>
      <c r="I5" s="6"/>
      <c r="J5" s="6"/>
    </row>
    <row r="6" spans="1:10">
      <c r="A6" s="6"/>
      <c r="B6" s="6"/>
      <c r="C6" s="6"/>
      <c r="D6" s="6"/>
      <c r="E6" s="6"/>
      <c r="F6" s="6"/>
      <c r="G6" s="6"/>
      <c r="H6" s="6"/>
      <c r="I6" s="6"/>
      <c r="J6" s="6"/>
    </row>
    <row r="7" spans="1:10">
      <c r="A7" s="6"/>
      <c r="B7" s="6"/>
      <c r="C7" s="6"/>
      <c r="D7" s="6"/>
      <c r="E7" s="6"/>
      <c r="F7" s="6"/>
      <c r="G7" s="6"/>
      <c r="H7" s="6"/>
      <c r="I7" s="6"/>
      <c r="J7" s="6"/>
    </row>
    <row r="8" spans="1:10">
      <c r="A8" s="6"/>
      <c r="B8" s="6"/>
      <c r="C8" s="6"/>
      <c r="D8" s="6"/>
      <c r="E8" s="6"/>
      <c r="F8" s="6"/>
      <c r="G8" s="6"/>
      <c r="H8" s="6"/>
      <c r="I8" s="6"/>
      <c r="J8" s="6"/>
    </row>
    <row r="9" spans="1:10">
      <c r="A9" s="6"/>
      <c r="B9" s="6"/>
      <c r="C9" s="6"/>
      <c r="D9" s="6"/>
      <c r="E9" s="6"/>
      <c r="F9" s="6"/>
      <c r="G9" s="6"/>
      <c r="H9" s="6"/>
      <c r="I9" s="6"/>
      <c r="J9" s="6"/>
    </row>
    <row r="10" spans="1:10">
      <c r="A10" s="6"/>
      <c r="B10" s="6"/>
      <c r="C10" s="6"/>
      <c r="D10" s="6"/>
      <c r="E10" s="6"/>
      <c r="F10" s="6"/>
      <c r="G10" s="6"/>
      <c r="H10" s="6"/>
      <c r="I10" s="6"/>
      <c r="J10" s="6"/>
    </row>
    <row r="11" spans="1:10">
      <c r="A11" s="6"/>
      <c r="B11" s="6"/>
      <c r="C11" s="6"/>
      <c r="D11" s="6"/>
      <c r="E11" s="6"/>
      <c r="F11" s="6"/>
      <c r="G11" s="6"/>
      <c r="H11" s="6"/>
      <c r="I11" s="6"/>
      <c r="J11" s="6"/>
    </row>
    <row r="12" spans="1:10">
      <c r="A12" s="6"/>
      <c r="B12" s="6"/>
      <c r="C12" s="6"/>
      <c r="D12" s="6"/>
      <c r="E12" s="6"/>
      <c r="F12" s="6"/>
      <c r="G12" s="6"/>
      <c r="H12" s="6"/>
      <c r="I12" s="6"/>
      <c r="J12" s="6"/>
    </row>
    <row r="13" spans="1:10">
      <c r="A13" s="6"/>
      <c r="B13" s="6"/>
      <c r="C13" s="6"/>
      <c r="D13" s="6"/>
      <c r="E13" s="6"/>
      <c r="F13" s="6"/>
      <c r="G13" s="6"/>
      <c r="H13" s="6"/>
      <c r="I13" s="6"/>
      <c r="J13" s="6"/>
    </row>
    <row r="14" spans="1:10">
      <c r="A14" s="6"/>
      <c r="B14" s="6"/>
      <c r="C14" s="6"/>
      <c r="D14" s="6"/>
      <c r="E14" s="6"/>
      <c r="F14" s="6"/>
      <c r="G14" s="6"/>
      <c r="H14" s="6"/>
      <c r="I14" s="6"/>
      <c r="J14" s="6"/>
    </row>
    <row r="15" spans="1:10">
      <c r="A15" s="6"/>
      <c r="B15" s="6"/>
      <c r="C15" s="6"/>
      <c r="D15" s="6"/>
      <c r="E15" s="6"/>
      <c r="F15" s="6"/>
      <c r="G15" s="6"/>
      <c r="H15" s="6"/>
      <c r="I15" s="6"/>
      <c r="J15" s="6"/>
    </row>
    <row r="16" spans="1:10">
      <c r="A16" s="6"/>
      <c r="B16" s="6"/>
      <c r="C16" s="6"/>
      <c r="D16" s="6"/>
      <c r="E16" s="6"/>
      <c r="F16" s="6"/>
      <c r="G16" s="6"/>
      <c r="H16" s="6"/>
      <c r="I16" s="6"/>
      <c r="J16" s="6"/>
    </row>
    <row r="17" spans="1:10">
      <c r="A17" s="6"/>
      <c r="B17" s="6"/>
      <c r="C17" s="6"/>
      <c r="D17" s="6"/>
      <c r="E17" s="6"/>
      <c r="F17" s="6"/>
      <c r="G17" s="6"/>
      <c r="H17" s="6"/>
      <c r="I17" s="6"/>
      <c r="J17" s="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in.Main">
                <anchor moveWithCells="1" sizeWithCells="1">
                  <from>
                    <xdr:col>9</xdr:col>
                    <xdr:colOff>590550</xdr:colOff>
                    <xdr:row>1</xdr:row>
                    <xdr:rowOff>95250</xdr:rowOff>
                  </from>
                  <to>
                    <xdr:col>12</xdr:col>
                    <xdr:colOff>0</xdr:colOff>
                    <xdr:row>3</xdr:row>
                    <xdr:rowOff>142875</xdr:rowOff>
                  </to>
                </anchor>
              </controlPr>
            </control>
          </mc:Choice>
        </mc:AlternateContent>
        <mc:AlternateContent xmlns:mc="http://schemas.openxmlformats.org/markup-compatibility/2006">
          <mc:Choice Requires="x14">
            <control shapeId="1027" r:id="rId5" name="Button 3">
              <controlPr defaultSize="0" print="0" autoFill="0" autoPict="0" macro="[0]!Button3_Click">
                <anchor moveWithCells="1" sizeWithCells="1">
                  <from>
                    <xdr:col>13</xdr:col>
                    <xdr:colOff>9525</xdr:colOff>
                    <xdr:row>1</xdr:row>
                    <xdr:rowOff>9525</xdr:rowOff>
                  </from>
                  <to>
                    <xdr:col>15</xdr:col>
                    <xdr:colOff>28575</xdr:colOff>
                    <xdr:row>2</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W21"/>
  <sheetViews>
    <sheetView workbookViewId="0">
      <selection activeCell="A2" sqref="A2:A21"/>
    </sheetView>
  </sheetViews>
  <sheetFormatPr defaultRowHeight="16.5"/>
  <cols>
    <col min="1" max="1" width="126.5703125" style="1" bestFit="1" customWidth="1"/>
    <col min="2" max="2" width="15.42578125" style="1" bestFit="1" customWidth="1"/>
    <col min="3" max="3" width="10.28515625" style="1" bestFit="1" customWidth="1"/>
    <col min="4" max="8" width="9.140625" style="1"/>
    <col min="9" max="9" width="13.140625" style="1" bestFit="1" customWidth="1"/>
    <col min="10" max="16384" width="9.140625" style="1"/>
  </cols>
  <sheetData>
    <row r="1" spans="1:283">
      <c r="A1" s="1" t="s">
        <v>6</v>
      </c>
      <c r="B1" s="1" t="s">
        <v>7</v>
      </c>
      <c r="C1" s="1" t="s">
        <v>8</v>
      </c>
      <c r="D1" s="1" t="s">
        <v>9</v>
      </c>
      <c r="E1" s="1" t="s">
        <v>10</v>
      </c>
      <c r="F1" s="1" t="s">
        <v>11</v>
      </c>
      <c r="G1" s="1" t="s">
        <v>12</v>
      </c>
      <c r="H1" s="1" t="s">
        <v>13</v>
      </c>
      <c r="I1" s="1" t="s">
        <v>14</v>
      </c>
      <c r="J1" s="1" t="s">
        <v>15</v>
      </c>
      <c r="K1" s="1" t="s">
        <v>16</v>
      </c>
      <c r="L1" s="1" t="s">
        <v>17</v>
      </c>
      <c r="M1" s="1" t="s">
        <v>18</v>
      </c>
      <c r="N1" s="1" t="s">
        <v>19</v>
      </c>
      <c r="O1" s="1" t="s">
        <v>20</v>
      </c>
      <c r="P1" s="1" t="s">
        <v>21</v>
      </c>
      <c r="Q1" s="1" t="s">
        <v>22</v>
      </c>
      <c r="R1" s="1" t="s">
        <v>23</v>
      </c>
      <c r="S1" s="1" t="s">
        <v>24</v>
      </c>
      <c r="T1" s="1" t="s">
        <v>25</v>
      </c>
      <c r="U1" s="1" t="s">
        <v>26</v>
      </c>
      <c r="V1" s="1" t="s">
        <v>27</v>
      </c>
      <c r="W1" s="1" t="s">
        <v>28</v>
      </c>
      <c r="X1" s="1" t="s">
        <v>29</v>
      </c>
      <c r="Y1" s="1" t="s">
        <v>30</v>
      </c>
      <c r="Z1" s="1" t="s">
        <v>31</v>
      </c>
      <c r="AA1" s="1" t="s">
        <v>32</v>
      </c>
      <c r="AB1" s="1" t="s">
        <v>33</v>
      </c>
      <c r="AC1" s="1" t="s">
        <v>33</v>
      </c>
      <c r="AD1" s="1" t="s">
        <v>33</v>
      </c>
      <c r="AE1" s="1" t="s">
        <v>33</v>
      </c>
      <c r="AF1" s="1" t="s">
        <v>33</v>
      </c>
      <c r="AG1" s="1" t="s">
        <v>33</v>
      </c>
      <c r="AH1" s="1" t="s">
        <v>33</v>
      </c>
      <c r="AI1" s="1" t="s">
        <v>33</v>
      </c>
      <c r="AJ1" s="1" t="s">
        <v>34</v>
      </c>
      <c r="AK1" s="1" t="s">
        <v>35</v>
      </c>
      <c r="AL1" s="1" t="s">
        <v>36</v>
      </c>
      <c r="AM1" s="1" t="s">
        <v>37</v>
      </c>
      <c r="AN1" s="1" t="s">
        <v>38</v>
      </c>
      <c r="AO1" s="1" t="s">
        <v>39</v>
      </c>
      <c r="AP1" s="1" t="s">
        <v>40</v>
      </c>
      <c r="AQ1" s="1" t="s">
        <v>41</v>
      </c>
      <c r="AR1" s="1" t="s">
        <v>42</v>
      </c>
      <c r="AS1" s="1" t="s">
        <v>43</v>
      </c>
      <c r="AT1" s="1" t="s">
        <v>44</v>
      </c>
      <c r="AU1" s="1" t="s">
        <v>45</v>
      </c>
      <c r="AV1" s="1" t="s">
        <v>46</v>
      </c>
      <c r="AW1" s="1" t="s">
        <v>47</v>
      </c>
      <c r="AX1" s="1" t="s">
        <v>48</v>
      </c>
      <c r="AY1" s="1" t="s">
        <v>49</v>
      </c>
      <c r="AZ1" s="1" t="s">
        <v>50</v>
      </c>
      <c r="BA1" s="1" t="s">
        <v>51</v>
      </c>
      <c r="BB1" s="1" t="s">
        <v>52</v>
      </c>
      <c r="BC1" s="1" t="s">
        <v>53</v>
      </c>
      <c r="BD1" s="1" t="s">
        <v>54</v>
      </c>
      <c r="BE1" s="1" t="s">
        <v>55</v>
      </c>
      <c r="BF1" s="1" t="s">
        <v>56</v>
      </c>
      <c r="BG1" s="1" t="s">
        <v>57</v>
      </c>
      <c r="BH1" s="1" t="s">
        <v>58</v>
      </c>
      <c r="BI1" s="1" t="s">
        <v>59</v>
      </c>
      <c r="BJ1" s="1" t="s">
        <v>60</v>
      </c>
      <c r="BK1" s="1" t="s">
        <v>61</v>
      </c>
      <c r="BL1" s="1" t="s">
        <v>62</v>
      </c>
      <c r="BM1" s="1" t="s">
        <v>63</v>
      </c>
      <c r="BN1" s="1" t="s">
        <v>64</v>
      </c>
      <c r="BO1" s="1" t="s">
        <v>65</v>
      </c>
      <c r="BP1" s="1" t="s">
        <v>66</v>
      </c>
      <c r="BQ1" s="1" t="s">
        <v>67</v>
      </c>
      <c r="BR1" s="1" t="s">
        <v>68</v>
      </c>
      <c r="BS1" s="1" t="s">
        <v>69</v>
      </c>
      <c r="BT1" s="1" t="s">
        <v>70</v>
      </c>
      <c r="BU1" s="1" t="s">
        <v>71</v>
      </c>
      <c r="BV1" s="1" t="s">
        <v>72</v>
      </c>
      <c r="BW1" s="1" t="s">
        <v>73</v>
      </c>
      <c r="BX1" s="1" t="s">
        <v>74</v>
      </c>
      <c r="BY1" s="1" t="s">
        <v>75</v>
      </c>
      <c r="BZ1" s="1" t="s">
        <v>76</v>
      </c>
      <c r="CA1" s="1" t="s">
        <v>77</v>
      </c>
      <c r="CB1" s="1" t="s">
        <v>78</v>
      </c>
      <c r="CC1" s="1" t="s">
        <v>79</v>
      </c>
      <c r="CD1" s="1" t="s">
        <v>80</v>
      </c>
      <c r="CE1" s="1" t="s">
        <v>81</v>
      </c>
      <c r="CF1" s="1" t="s">
        <v>82</v>
      </c>
      <c r="CG1" s="1" t="s">
        <v>83</v>
      </c>
      <c r="CH1" s="1" t="s">
        <v>84</v>
      </c>
      <c r="CI1" s="1" t="s">
        <v>85</v>
      </c>
      <c r="CJ1" s="1" t="s">
        <v>86</v>
      </c>
      <c r="CK1" s="1" t="s">
        <v>87</v>
      </c>
      <c r="CL1" s="1" t="s">
        <v>88</v>
      </c>
      <c r="CM1" s="1" t="s">
        <v>89</v>
      </c>
      <c r="CN1" s="1" t="s">
        <v>90</v>
      </c>
      <c r="CO1" s="1" t="s">
        <v>91</v>
      </c>
      <c r="CP1" s="1" t="s">
        <v>92</v>
      </c>
      <c r="CQ1" s="1" t="s">
        <v>93</v>
      </c>
      <c r="CR1" s="1" t="s">
        <v>94</v>
      </c>
      <c r="CS1" s="1" t="s">
        <v>95</v>
      </c>
      <c r="CT1" s="1" t="s">
        <v>96</v>
      </c>
      <c r="CU1" s="1" t="s">
        <v>97</v>
      </c>
      <c r="CV1" s="1" t="s">
        <v>98</v>
      </c>
      <c r="CW1" s="1" t="s">
        <v>99</v>
      </c>
      <c r="CX1" s="1" t="s">
        <v>100</v>
      </c>
      <c r="CY1" s="1" t="s">
        <v>101</v>
      </c>
      <c r="CZ1" s="1" t="s">
        <v>102</v>
      </c>
      <c r="DA1" s="1" t="s">
        <v>103</v>
      </c>
      <c r="DB1" s="1" t="s">
        <v>104</v>
      </c>
      <c r="DC1" s="1" t="s">
        <v>105</v>
      </c>
      <c r="DD1" s="1" t="s">
        <v>106</v>
      </c>
      <c r="DE1" s="1" t="s">
        <v>107</v>
      </c>
      <c r="DF1" s="1" t="s">
        <v>108</v>
      </c>
      <c r="DG1" s="1" t="s">
        <v>109</v>
      </c>
      <c r="DH1" s="1" t="s">
        <v>110</v>
      </c>
      <c r="DI1" s="1" t="s">
        <v>111</v>
      </c>
      <c r="DJ1" s="1" t="s">
        <v>112</v>
      </c>
      <c r="DK1" s="1" t="s">
        <v>113</v>
      </c>
      <c r="DL1" s="1" t="s">
        <v>114</v>
      </c>
      <c r="DM1" s="1" t="s">
        <v>115</v>
      </c>
      <c r="DN1" s="1" t="s">
        <v>116</v>
      </c>
      <c r="DO1" s="1" t="s">
        <v>117</v>
      </c>
      <c r="DP1" s="1" t="s">
        <v>118</v>
      </c>
      <c r="DQ1" s="1" t="s">
        <v>119</v>
      </c>
      <c r="DR1" s="1" t="s">
        <v>120</v>
      </c>
      <c r="DS1" s="1" t="s">
        <v>121</v>
      </c>
      <c r="DT1" s="1" t="s">
        <v>122</v>
      </c>
      <c r="DU1" s="1" t="s">
        <v>123</v>
      </c>
      <c r="DV1" s="1" t="s">
        <v>124</v>
      </c>
      <c r="DW1" s="1" t="s">
        <v>125</v>
      </c>
      <c r="DX1" s="1" t="s">
        <v>126</v>
      </c>
      <c r="DY1" s="1" t="s">
        <v>127</v>
      </c>
      <c r="DZ1" s="1" t="s">
        <v>128</v>
      </c>
      <c r="EA1" s="1" t="s">
        <v>129</v>
      </c>
      <c r="EB1" s="1" t="s">
        <v>130</v>
      </c>
      <c r="EC1" s="1" t="s">
        <v>131</v>
      </c>
      <c r="ED1" s="1" t="s">
        <v>132</v>
      </c>
      <c r="EE1" s="1" t="s">
        <v>133</v>
      </c>
      <c r="EF1" s="1" t="s">
        <v>134</v>
      </c>
      <c r="EG1" s="1" t="s">
        <v>135</v>
      </c>
      <c r="EH1" s="1" t="s">
        <v>136</v>
      </c>
      <c r="EI1" s="1" t="s">
        <v>137</v>
      </c>
      <c r="EJ1" s="1" t="s">
        <v>138</v>
      </c>
      <c r="EK1" s="1" t="s">
        <v>139</v>
      </c>
      <c r="EL1" s="1" t="s">
        <v>140</v>
      </c>
      <c r="EM1" s="1" t="s">
        <v>141</v>
      </c>
      <c r="EN1" s="1" t="s">
        <v>142</v>
      </c>
      <c r="EO1" s="1" t="s">
        <v>143</v>
      </c>
      <c r="EP1" s="1" t="s">
        <v>144</v>
      </c>
      <c r="EQ1" s="1" t="s">
        <v>145</v>
      </c>
      <c r="ER1" s="1" t="s">
        <v>146</v>
      </c>
      <c r="ES1" s="1" t="s">
        <v>147</v>
      </c>
      <c r="ET1" s="1" t="s">
        <v>148</v>
      </c>
      <c r="EU1" s="1" t="s">
        <v>149</v>
      </c>
      <c r="EV1" s="1" t="s">
        <v>150</v>
      </c>
      <c r="EW1" s="1" t="s">
        <v>151</v>
      </c>
      <c r="EX1" s="1" t="s">
        <v>152</v>
      </c>
      <c r="EY1" s="1" t="s">
        <v>153</v>
      </c>
      <c r="EZ1" s="1" t="s">
        <v>154</v>
      </c>
      <c r="FA1" s="1" t="s">
        <v>155</v>
      </c>
      <c r="FB1" s="1" t="s">
        <v>156</v>
      </c>
      <c r="FC1" s="1" t="s">
        <v>157</v>
      </c>
      <c r="FD1" s="1" t="s">
        <v>158</v>
      </c>
      <c r="FE1" s="1" t="s">
        <v>159</v>
      </c>
      <c r="FF1" s="1" t="s">
        <v>160</v>
      </c>
      <c r="FG1" s="1" t="s">
        <v>161</v>
      </c>
      <c r="FH1" s="1" t="s">
        <v>162</v>
      </c>
      <c r="FI1" s="1" t="s">
        <v>163</v>
      </c>
      <c r="FJ1" s="1" t="s">
        <v>164</v>
      </c>
      <c r="FK1" s="1" t="s">
        <v>165</v>
      </c>
      <c r="FL1" s="1" t="s">
        <v>166</v>
      </c>
      <c r="FM1" s="1" t="s">
        <v>167</v>
      </c>
      <c r="FN1" s="1" t="s">
        <v>168</v>
      </c>
      <c r="FO1" s="1" t="s">
        <v>169</v>
      </c>
      <c r="FP1" s="1" t="s">
        <v>170</v>
      </c>
      <c r="FQ1" s="1" t="s">
        <v>171</v>
      </c>
      <c r="FR1" s="1" t="s">
        <v>172</v>
      </c>
      <c r="FS1" s="1" t="s">
        <v>173</v>
      </c>
      <c r="FT1" s="1" t="s">
        <v>174</v>
      </c>
      <c r="FU1" s="1" t="s">
        <v>175</v>
      </c>
      <c r="FV1" s="1" t="s">
        <v>176</v>
      </c>
      <c r="FW1" s="1" t="s">
        <v>177</v>
      </c>
      <c r="FX1" s="1" t="s">
        <v>178</v>
      </c>
      <c r="FY1" s="1" t="s">
        <v>179</v>
      </c>
      <c r="FZ1" s="1" t="s">
        <v>180</v>
      </c>
      <c r="GA1" s="1" t="s">
        <v>181</v>
      </c>
      <c r="GB1" s="1" t="s">
        <v>182</v>
      </c>
      <c r="GC1" s="1" t="s">
        <v>183</v>
      </c>
      <c r="GD1" s="1" t="s">
        <v>184</v>
      </c>
      <c r="GE1" s="1" t="s">
        <v>185</v>
      </c>
      <c r="GF1" s="1" t="s">
        <v>186</v>
      </c>
      <c r="GG1" s="1" t="s">
        <v>187</v>
      </c>
      <c r="GH1" s="1" t="s">
        <v>188</v>
      </c>
      <c r="GI1" s="1" t="s">
        <v>189</v>
      </c>
      <c r="GJ1" s="1" t="s">
        <v>190</v>
      </c>
      <c r="GK1" s="1" t="s">
        <v>191</v>
      </c>
      <c r="GL1" s="1" t="s">
        <v>192</v>
      </c>
      <c r="GM1" s="1" t="s">
        <v>193</v>
      </c>
      <c r="GN1" s="1" t="s">
        <v>194</v>
      </c>
      <c r="GO1" s="1" t="s">
        <v>195</v>
      </c>
      <c r="GP1" s="1" t="s">
        <v>196</v>
      </c>
      <c r="GQ1" s="1" t="s">
        <v>197</v>
      </c>
      <c r="GR1" s="1" t="s">
        <v>198</v>
      </c>
      <c r="GS1" s="1" t="s">
        <v>199</v>
      </c>
      <c r="GT1" s="1" t="s">
        <v>200</v>
      </c>
      <c r="GU1" s="1" t="s">
        <v>201</v>
      </c>
      <c r="GV1" s="1" t="s">
        <v>202</v>
      </c>
      <c r="GW1" s="1" t="s">
        <v>203</v>
      </c>
      <c r="GX1" s="1" t="s">
        <v>204</v>
      </c>
      <c r="GY1" s="1" t="s">
        <v>205</v>
      </c>
      <c r="GZ1" s="1" t="s">
        <v>206</v>
      </c>
      <c r="HA1" s="1" t="s">
        <v>207</v>
      </c>
      <c r="HB1" s="1" t="s">
        <v>208</v>
      </c>
      <c r="HC1" s="1" t="s">
        <v>209</v>
      </c>
      <c r="HD1" s="1" t="s">
        <v>210</v>
      </c>
      <c r="HE1" s="1" t="s">
        <v>211</v>
      </c>
      <c r="HF1" s="1" t="s">
        <v>212</v>
      </c>
      <c r="HG1" s="1" t="s">
        <v>213</v>
      </c>
      <c r="HH1" s="1" t="s">
        <v>214</v>
      </c>
      <c r="HI1" s="1" t="s">
        <v>215</v>
      </c>
      <c r="HJ1" s="1" t="s">
        <v>216</v>
      </c>
      <c r="HK1" s="1" t="s">
        <v>217</v>
      </c>
      <c r="HL1" s="1" t="s">
        <v>218</v>
      </c>
      <c r="HM1" s="1" t="s">
        <v>219</v>
      </c>
      <c r="HN1" s="1" t="s">
        <v>220</v>
      </c>
      <c r="HO1" s="1" t="s">
        <v>221</v>
      </c>
      <c r="HP1" s="1" t="s">
        <v>222</v>
      </c>
      <c r="HQ1" s="1" t="s">
        <v>223</v>
      </c>
      <c r="HR1" s="1" t="s">
        <v>224</v>
      </c>
      <c r="HS1" s="1" t="s">
        <v>225</v>
      </c>
      <c r="HT1" s="1" t="s">
        <v>226</v>
      </c>
      <c r="HU1" s="1" t="s">
        <v>227</v>
      </c>
      <c r="HV1" s="1" t="s">
        <v>228</v>
      </c>
      <c r="HW1" s="1" t="s">
        <v>229</v>
      </c>
      <c r="HX1" s="1" t="s">
        <v>230</v>
      </c>
      <c r="HY1" s="1" t="s">
        <v>231</v>
      </c>
      <c r="HZ1" s="1" t="s">
        <v>232</v>
      </c>
      <c r="IA1" s="1" t="s">
        <v>233</v>
      </c>
      <c r="IB1" s="1" t="s">
        <v>234</v>
      </c>
      <c r="IC1" s="1" t="s">
        <v>235</v>
      </c>
      <c r="ID1" s="1" t="s">
        <v>236</v>
      </c>
      <c r="IE1" s="1" t="s">
        <v>237</v>
      </c>
      <c r="IF1" s="1" t="s">
        <v>238</v>
      </c>
      <c r="IG1" s="1" t="s">
        <v>239</v>
      </c>
      <c r="IH1" s="1" t="s">
        <v>240</v>
      </c>
      <c r="II1" s="1" t="s">
        <v>241</v>
      </c>
      <c r="IJ1" s="1" t="s">
        <v>242</v>
      </c>
      <c r="IK1" s="1" t="s">
        <v>242</v>
      </c>
      <c r="IL1" s="1" t="s">
        <v>243</v>
      </c>
      <c r="IM1" s="1" t="s">
        <v>244</v>
      </c>
      <c r="IN1" s="1" t="s">
        <v>245</v>
      </c>
      <c r="IO1" s="1" t="s">
        <v>246</v>
      </c>
      <c r="IP1" s="1" t="s">
        <v>247</v>
      </c>
      <c r="IQ1" s="1" t="s">
        <v>248</v>
      </c>
      <c r="IR1" s="1" t="s">
        <v>249</v>
      </c>
      <c r="IS1" s="1" t="s">
        <v>250</v>
      </c>
      <c r="IT1" s="1" t="s">
        <v>251</v>
      </c>
      <c r="IU1" s="1" t="s">
        <v>252</v>
      </c>
      <c r="IV1" s="1" t="s">
        <v>253</v>
      </c>
      <c r="IW1" s="1" t="s">
        <v>254</v>
      </c>
      <c r="IX1" s="1" t="s">
        <v>254</v>
      </c>
      <c r="IY1" s="1" t="s">
        <v>255</v>
      </c>
      <c r="IZ1" s="1" t="s">
        <v>256</v>
      </c>
      <c r="JA1" s="1" t="s">
        <v>257</v>
      </c>
      <c r="JB1" s="1" t="s">
        <v>258</v>
      </c>
      <c r="JC1" s="1" t="s">
        <v>259</v>
      </c>
      <c r="JD1" s="1" t="s">
        <v>260</v>
      </c>
      <c r="JE1" s="1" t="s">
        <v>261</v>
      </c>
      <c r="JF1" s="1" t="s">
        <v>262</v>
      </c>
      <c r="JG1" s="1" t="s">
        <v>263</v>
      </c>
      <c r="JH1" s="1" t="s">
        <v>264</v>
      </c>
      <c r="JI1" s="1" t="s">
        <v>265</v>
      </c>
      <c r="JJ1" s="1" t="s">
        <v>266</v>
      </c>
      <c r="JK1" s="1" t="s">
        <v>267</v>
      </c>
      <c r="JL1" s="1" t="s">
        <v>268</v>
      </c>
      <c r="JM1" s="1" t="s">
        <v>269</v>
      </c>
      <c r="JN1" s="1" t="s">
        <v>270</v>
      </c>
      <c r="JO1" s="1" t="s">
        <v>271</v>
      </c>
      <c r="JP1" s="1" t="s">
        <v>272</v>
      </c>
      <c r="JQ1" s="1" t="s">
        <v>273</v>
      </c>
      <c r="JR1" s="1" t="s">
        <v>274</v>
      </c>
      <c r="JS1" s="1" t="s">
        <v>275</v>
      </c>
      <c r="JT1" s="1" t="s">
        <v>276</v>
      </c>
      <c r="JU1" s="1" t="s">
        <v>277</v>
      </c>
      <c r="JV1" s="1" t="s">
        <v>278</v>
      </c>
      <c r="JW1" s="1" t="s">
        <v>279</v>
      </c>
    </row>
    <row r="2" spans="1:283">
      <c r="A2" s="1" t="s">
        <v>280</v>
      </c>
      <c r="B2" s="1" t="s">
        <v>281</v>
      </c>
      <c r="C2" s="1">
        <v>1601247</v>
      </c>
      <c r="D2" s="1" t="s">
        <v>282</v>
      </c>
      <c r="E2" s="1" t="s">
        <v>283</v>
      </c>
      <c r="F2" s="1" t="s">
        <v>284</v>
      </c>
      <c r="G2" s="1" t="s">
        <v>285</v>
      </c>
      <c r="H2" s="1" t="s">
        <v>286</v>
      </c>
      <c r="I2" s="1" t="s">
        <v>287</v>
      </c>
      <c r="J2" s="1" t="s">
        <v>288</v>
      </c>
      <c r="L2" s="1" t="s">
        <v>289</v>
      </c>
      <c r="N2" s="1" t="s">
        <v>290</v>
      </c>
      <c r="O2" s="1" t="s">
        <v>291</v>
      </c>
      <c r="P2" s="1" t="s">
        <v>291</v>
      </c>
      <c r="Q2" s="1">
        <v>44559.574305555558</v>
      </c>
      <c r="R2" s="1">
        <v>44581.638194444444</v>
      </c>
      <c r="S2" s="1">
        <v>44574.40625</v>
      </c>
      <c r="U2" s="1" t="s">
        <v>292</v>
      </c>
      <c r="V2" s="1" t="s">
        <v>293</v>
      </c>
      <c r="X2" s="1">
        <v>0</v>
      </c>
      <c r="Y2" s="1" t="s">
        <v>294</v>
      </c>
      <c r="AA2" s="1" t="s">
        <v>291</v>
      </c>
      <c r="AB2" s="1" t="s">
        <v>295</v>
      </c>
      <c r="AC2" s="1" t="s">
        <v>296</v>
      </c>
      <c r="AJ2" s="1">
        <v>86400</v>
      </c>
      <c r="AK2" s="1">
        <v>61200</v>
      </c>
      <c r="AL2" s="1">
        <v>25200</v>
      </c>
      <c r="AM2" s="1">
        <v>0.28999999999999998</v>
      </c>
      <c r="AN2" s="1">
        <v>86400</v>
      </c>
      <c r="AO2" s="1">
        <v>61200</v>
      </c>
      <c r="AP2" s="1">
        <v>25200</v>
      </c>
      <c r="AR2" s="1" t="s">
        <v>297</v>
      </c>
      <c r="AS2" s="1" t="s">
        <v>298</v>
      </c>
      <c r="AX2" s="1">
        <v>22</v>
      </c>
      <c r="BB2" s="1" t="s">
        <v>299</v>
      </c>
      <c r="BG2" s="1" t="s">
        <v>300</v>
      </c>
      <c r="CI2" s="1" t="s">
        <v>301</v>
      </c>
      <c r="CR2" s="1">
        <v>0</v>
      </c>
      <c r="CU2" s="1">
        <v>0</v>
      </c>
      <c r="DQ2" s="1" t="s">
        <v>302</v>
      </c>
      <c r="FB2" s="1" t="s">
        <v>303</v>
      </c>
      <c r="FF2" s="1" t="s">
        <v>304</v>
      </c>
      <c r="FI2" s="1" t="s">
        <v>305</v>
      </c>
      <c r="GF2" s="1" t="s">
        <v>306</v>
      </c>
      <c r="GJ2" s="1" t="s">
        <v>307</v>
      </c>
      <c r="GK2" s="1">
        <v>9.2233720368547697E+18</v>
      </c>
      <c r="GV2" s="1" t="s">
        <v>298</v>
      </c>
      <c r="HR2" s="1">
        <v>-404</v>
      </c>
      <c r="IJ2" s="1" t="s">
        <v>308</v>
      </c>
      <c r="IK2" s="1" t="s">
        <v>309</v>
      </c>
      <c r="IM2" s="1">
        <v>2</v>
      </c>
      <c r="IN2" s="1" t="s">
        <v>310</v>
      </c>
      <c r="JD2" s="1" t="s">
        <v>311</v>
      </c>
      <c r="JS2" s="1">
        <v>44573.764578831018</v>
      </c>
      <c r="JW2" s="1" t="s">
        <v>312</v>
      </c>
    </row>
    <row r="3" spans="1:283">
      <c r="A3" s="1" t="s">
        <v>313</v>
      </c>
      <c r="B3" s="1" t="s">
        <v>314</v>
      </c>
      <c r="C3" s="1">
        <v>1601244</v>
      </c>
      <c r="D3" s="1" t="s">
        <v>282</v>
      </c>
      <c r="E3" s="1" t="s">
        <v>283</v>
      </c>
      <c r="F3" s="1" t="s">
        <v>284</v>
      </c>
      <c r="G3" s="1" t="s">
        <v>285</v>
      </c>
      <c r="H3" s="1" t="s">
        <v>286</v>
      </c>
      <c r="I3" s="1" t="s">
        <v>287</v>
      </c>
      <c r="J3" s="1" t="s">
        <v>288</v>
      </c>
      <c r="L3" s="1" t="s">
        <v>289</v>
      </c>
      <c r="N3" s="1" t="s">
        <v>315</v>
      </c>
      <c r="O3" s="1" t="s">
        <v>291</v>
      </c>
      <c r="P3" s="1" t="s">
        <v>291</v>
      </c>
      <c r="Q3" s="1">
        <v>44559.574305555558</v>
      </c>
      <c r="R3" s="1">
        <v>44581.638194444444</v>
      </c>
      <c r="S3" s="1">
        <v>44580.395833333336</v>
      </c>
      <c r="U3" s="1" t="s">
        <v>292</v>
      </c>
      <c r="V3" s="1" t="s">
        <v>316</v>
      </c>
      <c r="X3" s="1">
        <v>0</v>
      </c>
      <c r="Y3" s="1" t="s">
        <v>317</v>
      </c>
      <c r="AA3" s="1" t="s">
        <v>291</v>
      </c>
      <c r="AB3" s="1" t="s">
        <v>318</v>
      </c>
      <c r="AC3" s="1" t="s">
        <v>319</v>
      </c>
      <c r="AD3" s="1" t="s">
        <v>320</v>
      </c>
      <c r="AJ3" s="1">
        <v>57600</v>
      </c>
      <c r="AK3" s="1">
        <v>31500</v>
      </c>
      <c r="AL3" s="1">
        <v>26100</v>
      </c>
      <c r="AM3" s="1">
        <v>0.45</v>
      </c>
      <c r="AN3" s="1">
        <v>57600</v>
      </c>
      <c r="AO3" s="1">
        <v>31500</v>
      </c>
      <c r="AP3" s="1">
        <v>26100</v>
      </c>
      <c r="AR3" s="1" t="s">
        <v>297</v>
      </c>
      <c r="AS3" s="1" t="s">
        <v>298</v>
      </c>
      <c r="AX3" s="1">
        <v>22</v>
      </c>
      <c r="BB3" s="1" t="s">
        <v>321</v>
      </c>
      <c r="BG3" s="1" t="s">
        <v>300</v>
      </c>
      <c r="CI3" s="1" t="s">
        <v>301</v>
      </c>
      <c r="CR3" s="1">
        <v>0</v>
      </c>
      <c r="CU3" s="1">
        <v>0</v>
      </c>
      <c r="DQ3" s="1" t="s">
        <v>302</v>
      </c>
      <c r="DW3" s="1" t="s">
        <v>322</v>
      </c>
      <c r="FB3" s="1" t="s">
        <v>303</v>
      </c>
      <c r="FF3" s="1" t="s">
        <v>304</v>
      </c>
      <c r="FI3" s="1" t="s">
        <v>305</v>
      </c>
      <c r="GF3" s="1" t="s">
        <v>306</v>
      </c>
      <c r="GJ3" s="1" t="s">
        <v>323</v>
      </c>
      <c r="GK3" s="1">
        <v>9.2233720368547697E+18</v>
      </c>
      <c r="GV3" s="1" t="s">
        <v>298</v>
      </c>
      <c r="HR3" s="1">
        <v>-404</v>
      </c>
      <c r="IJ3" s="1" t="s">
        <v>308</v>
      </c>
      <c r="IK3" s="1" t="s">
        <v>309</v>
      </c>
      <c r="IM3" s="1">
        <v>2</v>
      </c>
      <c r="IN3" s="1" t="s">
        <v>310</v>
      </c>
      <c r="JD3" s="1" t="s">
        <v>311</v>
      </c>
      <c r="JS3" s="1">
        <v>44575.399438912034</v>
      </c>
      <c r="JW3" s="1" t="s">
        <v>312</v>
      </c>
    </row>
    <row r="4" spans="1:283">
      <c r="A4" s="1" t="s">
        <v>324</v>
      </c>
      <c r="B4" s="1" t="s">
        <v>325</v>
      </c>
      <c r="C4" s="1">
        <v>1601245</v>
      </c>
      <c r="D4" s="1" t="s">
        <v>282</v>
      </c>
      <c r="E4" s="1" t="s">
        <v>283</v>
      </c>
      <c r="F4" s="1" t="s">
        <v>284</v>
      </c>
      <c r="G4" s="1" t="s">
        <v>285</v>
      </c>
      <c r="H4" s="1" t="s">
        <v>286</v>
      </c>
      <c r="I4" s="1" t="s">
        <v>287</v>
      </c>
      <c r="J4" s="1" t="s">
        <v>288</v>
      </c>
      <c r="L4" s="1" t="s">
        <v>289</v>
      </c>
      <c r="N4" s="1" t="s">
        <v>326</v>
      </c>
      <c r="O4" s="1" t="s">
        <v>291</v>
      </c>
      <c r="P4" s="1" t="s">
        <v>291</v>
      </c>
      <c r="Q4" s="1">
        <v>44559.574305555558</v>
      </c>
      <c r="R4" s="1">
        <v>44581.638194444444</v>
      </c>
      <c r="S4" s="1">
        <v>44581.447222222225</v>
      </c>
      <c r="U4" s="1" t="s">
        <v>292</v>
      </c>
      <c r="V4" s="1" t="s">
        <v>327</v>
      </c>
      <c r="X4" s="1">
        <v>0</v>
      </c>
      <c r="Y4" s="1" t="s">
        <v>328</v>
      </c>
      <c r="AA4" s="1" t="s">
        <v>291</v>
      </c>
      <c r="AB4" s="1" t="s">
        <v>329</v>
      </c>
      <c r="AC4" s="1" t="s">
        <v>330</v>
      </c>
      <c r="AJ4" s="1">
        <v>57600</v>
      </c>
      <c r="AK4" s="1">
        <v>50400</v>
      </c>
      <c r="AL4" s="1">
        <v>7200</v>
      </c>
      <c r="AM4" s="1">
        <v>0.12</v>
      </c>
      <c r="AN4" s="1">
        <v>57600</v>
      </c>
      <c r="AO4" s="1">
        <v>50400</v>
      </c>
      <c r="AP4" s="1">
        <v>7200</v>
      </c>
      <c r="AR4" s="1" t="s">
        <v>297</v>
      </c>
      <c r="AS4" s="1" t="s">
        <v>298</v>
      </c>
      <c r="AX4" s="1">
        <v>22</v>
      </c>
      <c r="BB4" s="1" t="s">
        <v>331</v>
      </c>
      <c r="BG4" s="1" t="s">
        <v>300</v>
      </c>
      <c r="CI4" s="1" t="s">
        <v>301</v>
      </c>
      <c r="CR4" s="1">
        <v>0</v>
      </c>
      <c r="CU4" s="1">
        <v>0</v>
      </c>
      <c r="DQ4" s="1" t="s">
        <v>302</v>
      </c>
      <c r="FB4" s="1" t="s">
        <v>303</v>
      </c>
      <c r="FF4" s="1" t="s">
        <v>304</v>
      </c>
      <c r="FI4" s="1" t="s">
        <v>305</v>
      </c>
      <c r="GF4" s="1" t="s">
        <v>306</v>
      </c>
      <c r="GJ4" s="1" t="s">
        <v>332</v>
      </c>
      <c r="GK4" s="1">
        <v>9.2233720368547697E+18</v>
      </c>
      <c r="GV4" s="1" t="s">
        <v>333</v>
      </c>
      <c r="HR4" s="1">
        <v>-404</v>
      </c>
      <c r="IJ4" s="1" t="s">
        <v>308</v>
      </c>
      <c r="IK4" s="1" t="s">
        <v>309</v>
      </c>
      <c r="IM4" s="1">
        <v>2</v>
      </c>
      <c r="IN4" s="1" t="s">
        <v>310</v>
      </c>
      <c r="JD4" s="1" t="s">
        <v>311</v>
      </c>
      <c r="JS4" s="1">
        <v>44573.323713460646</v>
      </c>
      <c r="JW4" s="1" t="s">
        <v>312</v>
      </c>
    </row>
    <row r="5" spans="1:283">
      <c r="A5" s="1" t="s">
        <v>334</v>
      </c>
      <c r="B5" s="1" t="s">
        <v>335</v>
      </c>
      <c r="C5" s="1">
        <v>1601246</v>
      </c>
      <c r="D5" s="1" t="s">
        <v>282</v>
      </c>
      <c r="E5" s="1" t="s">
        <v>283</v>
      </c>
      <c r="F5" s="1" t="s">
        <v>284</v>
      </c>
      <c r="G5" s="1" t="s">
        <v>285</v>
      </c>
      <c r="H5" s="1" t="s">
        <v>286</v>
      </c>
      <c r="I5" s="1" t="s">
        <v>287</v>
      </c>
      <c r="J5" s="1" t="s">
        <v>288</v>
      </c>
      <c r="L5" s="1" t="s">
        <v>289</v>
      </c>
      <c r="N5" s="1" t="s">
        <v>336</v>
      </c>
      <c r="O5" s="1" t="s">
        <v>291</v>
      </c>
      <c r="P5" s="1" t="s">
        <v>291</v>
      </c>
      <c r="Q5" s="1">
        <v>44559.574305555558</v>
      </c>
      <c r="R5" s="1">
        <v>44581.638194444444</v>
      </c>
      <c r="S5" s="1">
        <v>44574.411111111112</v>
      </c>
      <c r="U5" s="1" t="s">
        <v>292</v>
      </c>
      <c r="V5" s="1" t="s">
        <v>337</v>
      </c>
      <c r="X5" s="1">
        <v>0</v>
      </c>
      <c r="Y5" s="1" t="s">
        <v>338</v>
      </c>
      <c r="AA5" s="1" t="s">
        <v>291</v>
      </c>
      <c r="AB5" s="1" t="s">
        <v>339</v>
      </c>
      <c r="AC5" s="1" t="s">
        <v>340</v>
      </c>
      <c r="AD5" s="1" t="s">
        <v>341</v>
      </c>
      <c r="AE5" s="1" t="s">
        <v>342</v>
      </c>
      <c r="AF5" s="1" t="s">
        <v>343</v>
      </c>
      <c r="AG5" s="1" t="s">
        <v>344</v>
      </c>
      <c r="AH5" s="1" t="s">
        <v>345</v>
      </c>
      <c r="AI5" s="1" t="s">
        <v>346</v>
      </c>
      <c r="AJ5" s="1">
        <v>57600</v>
      </c>
      <c r="AK5" s="1">
        <v>6480</v>
      </c>
      <c r="AL5" s="1">
        <v>51120</v>
      </c>
      <c r="AM5" s="1">
        <v>0.88</v>
      </c>
      <c r="AN5" s="1">
        <v>57600</v>
      </c>
      <c r="AO5" s="1">
        <v>6480</v>
      </c>
      <c r="AP5" s="1">
        <v>51120</v>
      </c>
      <c r="AR5" s="1" t="s">
        <v>297</v>
      </c>
      <c r="AS5" s="1" t="s">
        <v>298</v>
      </c>
      <c r="AX5" s="1">
        <v>22</v>
      </c>
      <c r="BB5" s="1" t="s">
        <v>347</v>
      </c>
      <c r="BG5" s="1" t="s">
        <v>300</v>
      </c>
      <c r="CI5" s="1" t="s">
        <v>301</v>
      </c>
      <c r="CR5" s="1">
        <v>0</v>
      </c>
      <c r="CU5" s="1">
        <v>0</v>
      </c>
      <c r="DQ5" s="1" t="s">
        <v>302</v>
      </c>
      <c r="FB5" s="1" t="s">
        <v>303</v>
      </c>
      <c r="FF5" s="1" t="s">
        <v>304</v>
      </c>
      <c r="FI5" s="1" t="s">
        <v>305</v>
      </c>
      <c r="GF5" s="1" t="s">
        <v>306</v>
      </c>
      <c r="GJ5" s="1" t="s">
        <v>348</v>
      </c>
      <c r="GK5" s="1">
        <v>9.2233720368547697E+18</v>
      </c>
      <c r="GV5" s="1" t="s">
        <v>298</v>
      </c>
      <c r="HR5" s="1">
        <v>-404</v>
      </c>
      <c r="IJ5" s="1" t="s">
        <v>308</v>
      </c>
      <c r="IK5" s="1" t="s">
        <v>309</v>
      </c>
      <c r="IM5" s="1">
        <v>2</v>
      </c>
      <c r="IN5" s="1" t="s">
        <v>310</v>
      </c>
      <c r="JD5" s="1" t="s">
        <v>311</v>
      </c>
      <c r="JS5" s="1">
        <v>44574.174700567128</v>
      </c>
      <c r="JW5" s="1" t="s">
        <v>312</v>
      </c>
    </row>
    <row r="6" spans="1:283">
      <c r="A6" s="1" t="s">
        <v>349</v>
      </c>
      <c r="B6" s="1" t="s">
        <v>350</v>
      </c>
      <c r="C6" s="1">
        <v>1601292</v>
      </c>
      <c r="D6" s="1" t="s">
        <v>282</v>
      </c>
      <c r="E6" s="1" t="s">
        <v>283</v>
      </c>
      <c r="F6" s="1" t="s">
        <v>351</v>
      </c>
      <c r="G6" s="1" t="s">
        <v>352</v>
      </c>
      <c r="H6" s="1" t="s">
        <v>286</v>
      </c>
      <c r="I6" s="1" t="s">
        <v>353</v>
      </c>
      <c r="J6" s="1" t="s">
        <v>354</v>
      </c>
      <c r="L6" s="1" t="s">
        <v>289</v>
      </c>
      <c r="N6" s="1" t="s">
        <v>290</v>
      </c>
      <c r="O6" s="1" t="s">
        <v>291</v>
      </c>
      <c r="P6" s="1" t="s">
        <v>291</v>
      </c>
      <c r="Q6" s="1">
        <v>44559.578472222223</v>
      </c>
      <c r="R6" s="1">
        <v>44581.638194444444</v>
      </c>
      <c r="S6" s="1">
        <v>44574.40902777778</v>
      </c>
      <c r="U6" s="1" t="s">
        <v>355</v>
      </c>
      <c r="V6" s="1" t="s">
        <v>293</v>
      </c>
      <c r="X6" s="1">
        <v>0</v>
      </c>
      <c r="Y6" s="1" t="s">
        <v>356</v>
      </c>
      <c r="AA6" s="1" t="s">
        <v>291</v>
      </c>
      <c r="AB6" s="1" t="s">
        <v>357</v>
      </c>
      <c r="AJ6" s="1">
        <v>86400</v>
      </c>
      <c r="AK6" s="1">
        <v>72000</v>
      </c>
      <c r="AL6" s="1">
        <v>14400</v>
      </c>
      <c r="AM6" s="1">
        <v>0.16</v>
      </c>
      <c r="AN6" s="1">
        <v>86400</v>
      </c>
      <c r="AO6" s="1">
        <v>72000</v>
      </c>
      <c r="AP6" s="1">
        <v>14400</v>
      </c>
      <c r="AR6" s="1" t="s">
        <v>358</v>
      </c>
      <c r="AS6" s="1" t="s">
        <v>298</v>
      </c>
      <c r="AX6" s="1">
        <v>22</v>
      </c>
      <c r="BB6" s="1" t="s">
        <v>359</v>
      </c>
      <c r="BG6" s="1" t="s">
        <v>300</v>
      </c>
      <c r="CI6" s="1" t="s">
        <v>301</v>
      </c>
      <c r="CR6" s="1">
        <v>0</v>
      </c>
      <c r="CU6" s="1">
        <v>0</v>
      </c>
      <c r="FB6" s="1" t="s">
        <v>303</v>
      </c>
      <c r="FF6" s="1" t="s">
        <v>304</v>
      </c>
      <c r="FI6" s="1" t="s">
        <v>305</v>
      </c>
      <c r="GF6" s="1" t="s">
        <v>360</v>
      </c>
      <c r="GJ6" s="1" t="s">
        <v>361</v>
      </c>
      <c r="GK6" s="1">
        <v>9.2233720368547697E+18</v>
      </c>
      <c r="GV6" s="1" t="s">
        <v>298</v>
      </c>
      <c r="HR6" s="1">
        <v>-404</v>
      </c>
      <c r="IJ6" s="1" t="s">
        <v>308</v>
      </c>
      <c r="IK6" s="1" t="s">
        <v>309</v>
      </c>
      <c r="IM6" s="1">
        <v>2</v>
      </c>
      <c r="IN6" s="1" t="s">
        <v>310</v>
      </c>
      <c r="JS6" s="1">
        <v>44573.343775740737</v>
      </c>
      <c r="JW6" s="1" t="s">
        <v>362</v>
      </c>
    </row>
    <row r="7" spans="1:283">
      <c r="A7" s="1" t="s">
        <v>363</v>
      </c>
      <c r="B7" s="1" t="s">
        <v>364</v>
      </c>
      <c r="C7" s="1">
        <v>1601289</v>
      </c>
      <c r="D7" s="1" t="s">
        <v>282</v>
      </c>
      <c r="E7" s="1" t="s">
        <v>283</v>
      </c>
      <c r="F7" s="1" t="s">
        <v>351</v>
      </c>
      <c r="G7" s="1" t="s">
        <v>352</v>
      </c>
      <c r="H7" s="1" t="s">
        <v>286</v>
      </c>
      <c r="I7" s="1" t="s">
        <v>353</v>
      </c>
      <c r="J7" s="1" t="s">
        <v>354</v>
      </c>
      <c r="L7" s="1" t="s">
        <v>289</v>
      </c>
      <c r="N7" s="1" t="s">
        <v>315</v>
      </c>
      <c r="O7" s="1" t="s">
        <v>291</v>
      </c>
      <c r="P7" s="1" t="s">
        <v>291</v>
      </c>
      <c r="Q7" s="1">
        <v>44559.578472222223</v>
      </c>
      <c r="R7" s="1">
        <v>44581.638194444444</v>
      </c>
      <c r="S7" s="1">
        <v>44580.395833333336</v>
      </c>
      <c r="U7" s="1" t="s">
        <v>355</v>
      </c>
      <c r="V7" s="1" t="s">
        <v>316</v>
      </c>
      <c r="X7" s="1">
        <v>0</v>
      </c>
      <c r="Y7" s="1" t="s">
        <v>356</v>
      </c>
      <c r="AA7" s="1" t="s">
        <v>291</v>
      </c>
      <c r="AB7" s="1" t="s">
        <v>365</v>
      </c>
      <c r="AC7" s="1" t="s">
        <v>366</v>
      </c>
      <c r="AJ7" s="1">
        <v>57600</v>
      </c>
      <c r="AK7" s="1">
        <v>40500</v>
      </c>
      <c r="AL7" s="1">
        <v>17100</v>
      </c>
      <c r="AM7" s="1">
        <v>0.28999999999999998</v>
      </c>
      <c r="AN7" s="1">
        <v>57600</v>
      </c>
      <c r="AO7" s="1">
        <v>40500</v>
      </c>
      <c r="AP7" s="1">
        <v>17100</v>
      </c>
      <c r="AR7" s="1" t="s">
        <v>358</v>
      </c>
      <c r="AS7" s="1" t="s">
        <v>298</v>
      </c>
      <c r="AX7" s="1">
        <v>22</v>
      </c>
      <c r="BB7" s="1" t="s">
        <v>367</v>
      </c>
      <c r="BG7" s="1" t="s">
        <v>300</v>
      </c>
      <c r="CI7" s="1" t="s">
        <v>301</v>
      </c>
      <c r="CR7" s="1">
        <v>0</v>
      </c>
      <c r="CU7" s="1">
        <v>0</v>
      </c>
      <c r="DW7" s="1" t="s">
        <v>368</v>
      </c>
      <c r="FB7" s="1" t="s">
        <v>303</v>
      </c>
      <c r="FF7" s="1" t="s">
        <v>304</v>
      </c>
      <c r="FI7" s="1" t="s">
        <v>305</v>
      </c>
      <c r="GF7" s="1" t="s">
        <v>360</v>
      </c>
      <c r="GJ7" s="1" t="s">
        <v>369</v>
      </c>
      <c r="GK7" s="1">
        <v>9.2233720368547697E+18</v>
      </c>
      <c r="GV7" s="1" t="s">
        <v>298</v>
      </c>
      <c r="HR7" s="1">
        <v>-404</v>
      </c>
      <c r="IJ7" s="1" t="s">
        <v>308</v>
      </c>
      <c r="IK7" s="1" t="s">
        <v>309</v>
      </c>
      <c r="IM7" s="1">
        <v>2</v>
      </c>
      <c r="IN7" s="1" t="s">
        <v>310</v>
      </c>
      <c r="JS7" s="1">
        <v>44579.180269687502</v>
      </c>
      <c r="JW7" s="1" t="s">
        <v>362</v>
      </c>
    </row>
    <row r="8" spans="1:283">
      <c r="A8" s="1" t="s">
        <v>370</v>
      </c>
      <c r="B8" s="1" t="s">
        <v>371</v>
      </c>
      <c r="C8" s="1">
        <v>1601290</v>
      </c>
      <c r="D8" s="1" t="s">
        <v>282</v>
      </c>
      <c r="E8" s="1" t="s">
        <v>283</v>
      </c>
      <c r="F8" s="1" t="s">
        <v>351</v>
      </c>
      <c r="G8" s="1" t="s">
        <v>352</v>
      </c>
      <c r="H8" s="1" t="s">
        <v>286</v>
      </c>
      <c r="I8" s="1" t="s">
        <v>353</v>
      </c>
      <c r="J8" s="1" t="s">
        <v>354</v>
      </c>
      <c r="L8" s="1" t="s">
        <v>289</v>
      </c>
      <c r="N8" s="1" t="s">
        <v>326</v>
      </c>
      <c r="O8" s="1" t="s">
        <v>291</v>
      </c>
      <c r="P8" s="1" t="s">
        <v>291</v>
      </c>
      <c r="Q8" s="1">
        <v>44559.578472222223</v>
      </c>
      <c r="R8" s="1">
        <v>44581.638194444444</v>
      </c>
      <c r="S8" s="1">
        <v>44581.447222222225</v>
      </c>
      <c r="U8" s="1" t="s">
        <v>355</v>
      </c>
      <c r="V8" s="1" t="s">
        <v>327</v>
      </c>
      <c r="X8" s="1">
        <v>0</v>
      </c>
      <c r="Y8" s="1" t="s">
        <v>356</v>
      </c>
      <c r="AA8" s="1" t="s">
        <v>291</v>
      </c>
      <c r="AB8" s="1" t="s">
        <v>372</v>
      </c>
      <c r="AC8" s="1" t="s">
        <v>373</v>
      </c>
      <c r="AD8" s="1" t="s">
        <v>330</v>
      </c>
      <c r="AJ8" s="1">
        <v>57600</v>
      </c>
      <c r="AK8" s="1">
        <v>46800</v>
      </c>
      <c r="AL8" s="1">
        <v>10800</v>
      </c>
      <c r="AM8" s="1">
        <v>0.18</v>
      </c>
      <c r="AN8" s="1">
        <v>57600</v>
      </c>
      <c r="AO8" s="1">
        <v>46800</v>
      </c>
      <c r="AP8" s="1">
        <v>10800</v>
      </c>
      <c r="AR8" s="1" t="s">
        <v>358</v>
      </c>
      <c r="AS8" s="1" t="s">
        <v>298</v>
      </c>
      <c r="AX8" s="1">
        <v>22</v>
      </c>
      <c r="BB8" s="1" t="s">
        <v>367</v>
      </c>
      <c r="BG8" s="1" t="s">
        <v>300</v>
      </c>
      <c r="CI8" s="1" t="s">
        <v>301</v>
      </c>
      <c r="CR8" s="1">
        <v>0</v>
      </c>
      <c r="CU8" s="1">
        <v>0</v>
      </c>
      <c r="FB8" s="1" t="s">
        <v>303</v>
      </c>
      <c r="FF8" s="1" t="s">
        <v>304</v>
      </c>
      <c r="FI8" s="1" t="s">
        <v>305</v>
      </c>
      <c r="GF8" s="1" t="s">
        <v>360</v>
      </c>
      <c r="GJ8" s="1" t="s">
        <v>374</v>
      </c>
      <c r="GK8" s="1">
        <v>9.2233720368547697E+18</v>
      </c>
      <c r="GV8" s="1" t="s">
        <v>333</v>
      </c>
      <c r="HR8" s="1">
        <v>-404</v>
      </c>
      <c r="IJ8" s="1" t="s">
        <v>308</v>
      </c>
      <c r="IK8" s="1" t="s">
        <v>309</v>
      </c>
      <c r="IM8" s="1">
        <v>2</v>
      </c>
      <c r="IN8" s="1" t="s">
        <v>310</v>
      </c>
      <c r="JS8" s="1">
        <v>44578.19197190972</v>
      </c>
      <c r="JW8" s="1" t="s">
        <v>362</v>
      </c>
    </row>
    <row r="9" spans="1:283">
      <c r="A9" s="1" t="s">
        <v>375</v>
      </c>
      <c r="B9" s="1" t="s">
        <v>376</v>
      </c>
      <c r="C9" s="1">
        <v>1601291</v>
      </c>
      <c r="D9" s="1" t="s">
        <v>282</v>
      </c>
      <c r="E9" s="1" t="s">
        <v>283</v>
      </c>
      <c r="F9" s="1" t="s">
        <v>351</v>
      </c>
      <c r="G9" s="1" t="s">
        <v>352</v>
      </c>
      <c r="H9" s="1" t="s">
        <v>286</v>
      </c>
      <c r="I9" s="1" t="s">
        <v>353</v>
      </c>
      <c r="J9" s="1" t="s">
        <v>354</v>
      </c>
      <c r="L9" s="1" t="s">
        <v>289</v>
      </c>
      <c r="N9" s="1" t="s">
        <v>377</v>
      </c>
      <c r="O9" s="1" t="s">
        <v>291</v>
      </c>
      <c r="P9" s="1" t="s">
        <v>291</v>
      </c>
      <c r="Q9" s="1">
        <v>44559.578472222223</v>
      </c>
      <c r="R9" s="1">
        <v>44581.638194444444</v>
      </c>
      <c r="S9" s="1">
        <v>44574.409722222219</v>
      </c>
      <c r="U9" s="1" t="s">
        <v>355</v>
      </c>
      <c r="V9" s="1" t="s">
        <v>337</v>
      </c>
      <c r="X9" s="1">
        <v>0</v>
      </c>
      <c r="Y9" s="1" t="s">
        <v>356</v>
      </c>
      <c r="AA9" s="1" t="s">
        <v>291</v>
      </c>
      <c r="AB9" s="1" t="s">
        <v>378</v>
      </c>
      <c r="AJ9" s="1">
        <v>57600</v>
      </c>
      <c r="AK9" s="1">
        <v>39600</v>
      </c>
      <c r="AL9" s="1">
        <v>18000</v>
      </c>
      <c r="AM9" s="1">
        <v>0.31</v>
      </c>
      <c r="AN9" s="1">
        <v>57600</v>
      </c>
      <c r="AO9" s="1">
        <v>39600</v>
      </c>
      <c r="AP9" s="1">
        <v>18000</v>
      </c>
      <c r="AR9" s="1" t="s">
        <v>358</v>
      </c>
      <c r="AS9" s="1" t="s">
        <v>298</v>
      </c>
      <c r="AX9" s="1">
        <v>22</v>
      </c>
      <c r="BB9" s="1" t="s">
        <v>379</v>
      </c>
      <c r="BG9" s="1" t="s">
        <v>300</v>
      </c>
      <c r="CI9" s="1" t="s">
        <v>301</v>
      </c>
      <c r="CR9" s="1">
        <v>0</v>
      </c>
      <c r="CU9" s="1">
        <v>0</v>
      </c>
      <c r="DW9" s="1" t="s">
        <v>380</v>
      </c>
      <c r="FB9" s="1" t="s">
        <v>303</v>
      </c>
      <c r="FF9" s="1" t="s">
        <v>304</v>
      </c>
      <c r="FI9" s="1" t="s">
        <v>305</v>
      </c>
      <c r="GF9" s="1" t="s">
        <v>360</v>
      </c>
      <c r="GJ9" s="1" t="s">
        <v>381</v>
      </c>
      <c r="GK9" s="1">
        <v>9.2233720368547697E+18</v>
      </c>
      <c r="GV9" s="1" t="s">
        <v>333</v>
      </c>
      <c r="HR9" s="1">
        <v>-404</v>
      </c>
      <c r="IJ9" s="1" t="s">
        <v>308</v>
      </c>
      <c r="IK9" s="1" t="s">
        <v>309</v>
      </c>
      <c r="IM9" s="1">
        <v>2</v>
      </c>
      <c r="IN9" s="1" t="s">
        <v>310</v>
      </c>
      <c r="JS9" s="1">
        <v>44580.191569143521</v>
      </c>
      <c r="JW9" s="1" t="s">
        <v>362</v>
      </c>
    </row>
    <row r="10" spans="1:283">
      <c r="A10" s="1" t="s">
        <v>382</v>
      </c>
      <c r="B10" s="1" t="s">
        <v>383</v>
      </c>
      <c r="C10" s="1">
        <v>1613068</v>
      </c>
      <c r="D10" s="1" t="s">
        <v>282</v>
      </c>
      <c r="E10" s="1" t="s">
        <v>384</v>
      </c>
      <c r="F10" s="1" t="s">
        <v>385</v>
      </c>
      <c r="G10" s="1" t="s">
        <v>386</v>
      </c>
      <c r="H10" s="1" t="s">
        <v>286</v>
      </c>
      <c r="I10" s="1" t="s">
        <v>353</v>
      </c>
      <c r="J10" s="1" t="s">
        <v>387</v>
      </c>
      <c r="L10" s="1" t="s">
        <v>289</v>
      </c>
      <c r="N10" s="1" t="s">
        <v>290</v>
      </c>
      <c r="O10" s="1" t="s">
        <v>291</v>
      </c>
      <c r="P10" s="1" t="s">
        <v>291</v>
      </c>
      <c r="Q10" s="1">
        <v>44579.418749999997</v>
      </c>
      <c r="R10" s="1">
        <v>44581.644444444442</v>
      </c>
      <c r="S10" s="1">
        <v>44581.644444444442</v>
      </c>
      <c r="U10" s="1" t="s">
        <v>388</v>
      </c>
      <c r="V10" s="1" t="s">
        <v>316</v>
      </c>
      <c r="X10" s="1">
        <v>0</v>
      </c>
      <c r="Y10" s="1" t="s">
        <v>389</v>
      </c>
      <c r="AA10" s="1" t="s">
        <v>291</v>
      </c>
      <c r="AR10" s="1" t="s">
        <v>390</v>
      </c>
      <c r="AS10" s="1" t="s">
        <v>298</v>
      </c>
      <c r="AX10" s="1">
        <v>2</v>
      </c>
      <c r="BB10" s="1" t="s">
        <v>367</v>
      </c>
      <c r="BG10" s="1" t="s">
        <v>391</v>
      </c>
      <c r="CI10" s="1" t="s">
        <v>301</v>
      </c>
      <c r="CR10" s="1">
        <v>0</v>
      </c>
      <c r="CU10" s="1">
        <v>0</v>
      </c>
      <c r="FB10" s="1" t="s">
        <v>392</v>
      </c>
      <c r="FI10" s="1" t="s">
        <v>305</v>
      </c>
      <c r="GF10" s="1" t="s">
        <v>360</v>
      </c>
      <c r="GJ10" s="1" t="s">
        <v>393</v>
      </c>
      <c r="GK10" s="1">
        <v>9.2233720368547697E+18</v>
      </c>
      <c r="GV10" s="1" t="s">
        <v>298</v>
      </c>
      <c r="HR10" s="1">
        <v>-404</v>
      </c>
      <c r="IJ10" s="1" t="s">
        <v>309</v>
      </c>
      <c r="IM10" s="1">
        <v>5</v>
      </c>
      <c r="IN10" s="1" t="s">
        <v>310</v>
      </c>
    </row>
    <row r="11" spans="1:283">
      <c r="A11" s="1" t="s">
        <v>394</v>
      </c>
      <c r="B11" s="1" t="s">
        <v>395</v>
      </c>
      <c r="C11" s="1">
        <v>1613069</v>
      </c>
      <c r="D11" s="1" t="s">
        <v>282</v>
      </c>
      <c r="E11" s="1" t="s">
        <v>384</v>
      </c>
      <c r="F11" s="1" t="s">
        <v>385</v>
      </c>
      <c r="G11" s="1" t="s">
        <v>386</v>
      </c>
      <c r="H11" s="1" t="s">
        <v>286</v>
      </c>
      <c r="I11" s="1" t="s">
        <v>353</v>
      </c>
      <c r="J11" s="1" t="s">
        <v>387</v>
      </c>
      <c r="L11" s="1" t="s">
        <v>289</v>
      </c>
      <c r="N11" s="1" t="s">
        <v>377</v>
      </c>
      <c r="O11" s="1" t="s">
        <v>291</v>
      </c>
      <c r="P11" s="1" t="s">
        <v>291</v>
      </c>
      <c r="Q11" s="1">
        <v>44579.418749999997</v>
      </c>
      <c r="R11" s="1">
        <v>44581.645138888889</v>
      </c>
      <c r="S11" s="1">
        <v>44581.645138888889</v>
      </c>
      <c r="U11" s="1" t="s">
        <v>388</v>
      </c>
      <c r="V11" s="1" t="s">
        <v>337</v>
      </c>
      <c r="X11" s="1">
        <v>0</v>
      </c>
      <c r="Y11" s="1" t="s">
        <v>389</v>
      </c>
      <c r="AA11" s="1" t="s">
        <v>291</v>
      </c>
      <c r="AR11" s="1" t="s">
        <v>390</v>
      </c>
      <c r="AS11" s="1" t="s">
        <v>298</v>
      </c>
      <c r="AX11" s="1">
        <v>2</v>
      </c>
      <c r="BB11" s="1" t="s">
        <v>367</v>
      </c>
      <c r="BG11" s="1" t="s">
        <v>391</v>
      </c>
      <c r="CI11" s="1" t="s">
        <v>301</v>
      </c>
      <c r="CR11" s="1">
        <v>0</v>
      </c>
      <c r="CU11" s="1">
        <v>0</v>
      </c>
      <c r="FB11" s="1" t="s">
        <v>392</v>
      </c>
      <c r="FI11" s="1" t="s">
        <v>305</v>
      </c>
      <c r="GF11" s="1" t="s">
        <v>360</v>
      </c>
      <c r="GJ11" s="1" t="s">
        <v>396</v>
      </c>
      <c r="GK11" s="1">
        <v>9.2233720368547697E+18</v>
      </c>
      <c r="GV11" s="1" t="s">
        <v>298</v>
      </c>
      <c r="HR11" s="1">
        <v>-404</v>
      </c>
      <c r="IJ11" s="1" t="s">
        <v>309</v>
      </c>
      <c r="IM11" s="1">
        <v>5</v>
      </c>
      <c r="IN11" s="1" t="s">
        <v>310</v>
      </c>
    </row>
    <row r="12" spans="1:283">
      <c r="A12" s="1" t="s">
        <v>397</v>
      </c>
      <c r="B12" s="1" t="s">
        <v>398</v>
      </c>
      <c r="C12" s="1">
        <v>1613070</v>
      </c>
      <c r="D12" s="1" t="s">
        <v>282</v>
      </c>
      <c r="E12" s="1" t="s">
        <v>384</v>
      </c>
      <c r="F12" s="1" t="s">
        <v>385</v>
      </c>
      <c r="G12" s="1" t="s">
        <v>386</v>
      </c>
      <c r="H12" s="1" t="s">
        <v>286</v>
      </c>
      <c r="I12" s="1" t="s">
        <v>353</v>
      </c>
      <c r="J12" s="1" t="s">
        <v>387</v>
      </c>
      <c r="L12" s="1" t="s">
        <v>289</v>
      </c>
      <c r="N12" s="1" t="s">
        <v>315</v>
      </c>
      <c r="O12" s="1" t="s">
        <v>291</v>
      </c>
      <c r="P12" s="1" t="s">
        <v>291</v>
      </c>
      <c r="Q12" s="1">
        <v>44579.418749999997</v>
      </c>
      <c r="R12" s="1">
        <v>44581.645138888889</v>
      </c>
      <c r="S12" s="1">
        <v>44581.645138888889</v>
      </c>
      <c r="U12" s="1" t="s">
        <v>388</v>
      </c>
      <c r="V12" s="1" t="s">
        <v>327</v>
      </c>
      <c r="X12" s="1">
        <v>0</v>
      </c>
      <c r="Y12" s="1" t="s">
        <v>389</v>
      </c>
      <c r="AA12" s="1" t="s">
        <v>291</v>
      </c>
      <c r="AR12" s="1" t="s">
        <v>390</v>
      </c>
      <c r="AS12" s="1" t="s">
        <v>298</v>
      </c>
      <c r="AX12" s="1">
        <v>2</v>
      </c>
      <c r="BB12" s="1" t="s">
        <v>367</v>
      </c>
      <c r="BG12" s="1" t="s">
        <v>391</v>
      </c>
      <c r="CI12" s="1" t="s">
        <v>301</v>
      </c>
      <c r="CR12" s="1">
        <v>0</v>
      </c>
      <c r="CU12" s="1">
        <v>0</v>
      </c>
      <c r="FB12" s="1" t="s">
        <v>392</v>
      </c>
      <c r="FI12" s="1" t="s">
        <v>305</v>
      </c>
      <c r="GF12" s="1" t="s">
        <v>360</v>
      </c>
      <c r="GJ12" s="1" t="s">
        <v>399</v>
      </c>
      <c r="GK12" s="1">
        <v>9.2233720368547697E+18</v>
      </c>
      <c r="GV12" s="1" t="s">
        <v>298</v>
      </c>
      <c r="HR12" s="1">
        <v>-404</v>
      </c>
      <c r="IJ12" s="1" t="s">
        <v>309</v>
      </c>
      <c r="IM12" s="1">
        <v>5</v>
      </c>
      <c r="IN12" s="1" t="s">
        <v>310</v>
      </c>
    </row>
    <row r="13" spans="1:283">
      <c r="A13" s="1" t="s">
        <v>400</v>
      </c>
      <c r="B13" s="1" t="s">
        <v>401</v>
      </c>
      <c r="C13" s="1">
        <v>1613091</v>
      </c>
      <c r="D13" s="1" t="s">
        <v>402</v>
      </c>
      <c r="E13" s="1" t="s">
        <v>384</v>
      </c>
      <c r="F13" s="1" t="s">
        <v>385</v>
      </c>
      <c r="G13" s="1" t="s">
        <v>386</v>
      </c>
      <c r="H13" s="1" t="s">
        <v>286</v>
      </c>
      <c r="I13" s="1" t="s">
        <v>353</v>
      </c>
      <c r="J13" s="1" t="s">
        <v>387</v>
      </c>
      <c r="L13" s="1" t="s">
        <v>289</v>
      </c>
      <c r="N13" s="1" t="s">
        <v>290</v>
      </c>
      <c r="O13" s="1" t="s">
        <v>291</v>
      </c>
      <c r="P13" s="1" t="s">
        <v>291</v>
      </c>
      <c r="Q13" s="1">
        <v>44579.632638888892</v>
      </c>
      <c r="R13" s="1">
        <v>44581.647916666669</v>
      </c>
      <c r="S13" s="1">
        <v>44581.647916666669</v>
      </c>
      <c r="U13" s="1" t="s">
        <v>388</v>
      </c>
      <c r="V13" s="1" t="s">
        <v>316</v>
      </c>
      <c r="X13" s="1">
        <v>0</v>
      </c>
      <c r="Y13" s="1" t="s">
        <v>403</v>
      </c>
      <c r="AA13" s="1" t="s">
        <v>291</v>
      </c>
      <c r="AR13" s="1" t="s">
        <v>404</v>
      </c>
      <c r="AS13" s="1" t="s">
        <v>298</v>
      </c>
      <c r="AX13" s="1">
        <v>2</v>
      </c>
      <c r="BG13" s="1" t="s">
        <v>391</v>
      </c>
      <c r="CI13" s="1" t="s">
        <v>301</v>
      </c>
      <c r="CR13" s="1">
        <v>0</v>
      </c>
      <c r="CU13" s="1">
        <v>0</v>
      </c>
      <c r="DI13" s="1" t="s">
        <v>405</v>
      </c>
      <c r="FB13" s="1" t="s">
        <v>406</v>
      </c>
      <c r="FI13" s="1" t="s">
        <v>305</v>
      </c>
      <c r="GF13" s="1" t="s">
        <v>360</v>
      </c>
      <c r="GJ13" s="1" t="s">
        <v>407</v>
      </c>
      <c r="GK13" s="1">
        <v>9.2233720368547697E+18</v>
      </c>
      <c r="GV13" s="1" t="s">
        <v>298</v>
      </c>
      <c r="HR13" s="1">
        <v>-404</v>
      </c>
      <c r="IJ13" s="1" t="s">
        <v>309</v>
      </c>
      <c r="IM13" s="1">
        <v>5</v>
      </c>
      <c r="IN13" s="1" t="s">
        <v>310</v>
      </c>
    </row>
    <row r="14" spans="1:283">
      <c r="A14" s="1" t="s">
        <v>408</v>
      </c>
      <c r="B14" s="1" t="s">
        <v>409</v>
      </c>
      <c r="C14" s="1">
        <v>1613092</v>
      </c>
      <c r="D14" s="1" t="s">
        <v>402</v>
      </c>
      <c r="E14" s="1" t="s">
        <v>384</v>
      </c>
      <c r="F14" s="1" t="s">
        <v>385</v>
      </c>
      <c r="G14" s="1" t="s">
        <v>386</v>
      </c>
      <c r="H14" s="1" t="s">
        <v>286</v>
      </c>
      <c r="I14" s="1" t="s">
        <v>353</v>
      </c>
      <c r="J14" s="1" t="s">
        <v>387</v>
      </c>
      <c r="L14" s="1" t="s">
        <v>289</v>
      </c>
      <c r="N14" s="1" t="s">
        <v>377</v>
      </c>
      <c r="O14" s="1" t="s">
        <v>291</v>
      </c>
      <c r="P14" s="1" t="s">
        <v>291</v>
      </c>
      <c r="Q14" s="1">
        <v>44579.632638888892</v>
      </c>
      <c r="R14" s="1">
        <v>44581.648611111108</v>
      </c>
      <c r="S14" s="1">
        <v>44581.648611111108</v>
      </c>
      <c r="U14" s="1" t="s">
        <v>388</v>
      </c>
      <c r="V14" s="1" t="s">
        <v>337</v>
      </c>
      <c r="X14" s="1">
        <v>0</v>
      </c>
      <c r="Y14" s="1" t="s">
        <v>403</v>
      </c>
      <c r="AA14" s="1" t="s">
        <v>291</v>
      </c>
      <c r="AR14" s="1" t="s">
        <v>404</v>
      </c>
      <c r="AS14" s="1" t="s">
        <v>298</v>
      </c>
      <c r="AX14" s="1">
        <v>2</v>
      </c>
      <c r="BG14" s="1" t="s">
        <v>391</v>
      </c>
      <c r="CI14" s="1" t="s">
        <v>301</v>
      </c>
      <c r="CR14" s="1">
        <v>0</v>
      </c>
      <c r="CU14" s="1">
        <v>0</v>
      </c>
      <c r="DI14" s="1" t="s">
        <v>405</v>
      </c>
      <c r="FB14" s="1" t="s">
        <v>406</v>
      </c>
      <c r="FI14" s="1" t="s">
        <v>305</v>
      </c>
      <c r="GF14" s="1" t="s">
        <v>360</v>
      </c>
      <c r="GJ14" s="1" t="s">
        <v>410</v>
      </c>
      <c r="GK14" s="1">
        <v>9.2233720368547697E+18</v>
      </c>
      <c r="GV14" s="1" t="s">
        <v>298</v>
      </c>
      <c r="HR14" s="1">
        <v>-404</v>
      </c>
      <c r="IJ14" s="1" t="s">
        <v>309</v>
      </c>
      <c r="IM14" s="1">
        <v>5</v>
      </c>
      <c r="IN14" s="1" t="s">
        <v>310</v>
      </c>
    </row>
    <row r="15" spans="1:283">
      <c r="A15" s="1" t="s">
        <v>411</v>
      </c>
      <c r="B15" s="1" t="s">
        <v>412</v>
      </c>
      <c r="C15" s="1">
        <v>1613093</v>
      </c>
      <c r="D15" s="1" t="s">
        <v>402</v>
      </c>
      <c r="E15" s="1" t="s">
        <v>384</v>
      </c>
      <c r="F15" s="1" t="s">
        <v>385</v>
      </c>
      <c r="G15" s="1" t="s">
        <v>386</v>
      </c>
      <c r="H15" s="1" t="s">
        <v>286</v>
      </c>
      <c r="I15" s="1" t="s">
        <v>353</v>
      </c>
      <c r="J15" s="1" t="s">
        <v>387</v>
      </c>
      <c r="L15" s="1" t="s">
        <v>289</v>
      </c>
      <c r="N15" s="1" t="s">
        <v>315</v>
      </c>
      <c r="O15" s="1" t="s">
        <v>291</v>
      </c>
      <c r="P15" s="1" t="s">
        <v>291</v>
      </c>
      <c r="Q15" s="1">
        <v>44579.632638888892</v>
      </c>
      <c r="R15" s="1">
        <v>44581.648611111108</v>
      </c>
      <c r="S15" s="1">
        <v>44581.648611111108</v>
      </c>
      <c r="U15" s="1" t="s">
        <v>388</v>
      </c>
      <c r="V15" s="1" t="s">
        <v>327</v>
      </c>
      <c r="X15" s="1">
        <v>0</v>
      </c>
      <c r="Y15" s="1" t="s">
        <v>403</v>
      </c>
      <c r="AA15" s="1" t="s">
        <v>291</v>
      </c>
      <c r="AR15" s="1" t="s">
        <v>404</v>
      </c>
      <c r="AS15" s="1" t="s">
        <v>298</v>
      </c>
      <c r="AX15" s="1">
        <v>2</v>
      </c>
      <c r="BG15" s="1" t="s">
        <v>391</v>
      </c>
      <c r="CI15" s="1" t="s">
        <v>301</v>
      </c>
      <c r="CR15" s="1">
        <v>0</v>
      </c>
      <c r="CU15" s="1">
        <v>0</v>
      </c>
      <c r="DI15" s="1" t="s">
        <v>405</v>
      </c>
      <c r="FB15" s="1" t="s">
        <v>406</v>
      </c>
      <c r="FI15" s="1" t="s">
        <v>305</v>
      </c>
      <c r="GF15" s="1" t="s">
        <v>360</v>
      </c>
      <c r="GJ15" s="1" t="s">
        <v>413</v>
      </c>
      <c r="GK15" s="1">
        <v>9.2233720368547697E+18</v>
      </c>
      <c r="GV15" s="1" t="s">
        <v>298</v>
      </c>
      <c r="HR15" s="1">
        <v>-404</v>
      </c>
      <c r="IJ15" s="1" t="s">
        <v>309</v>
      </c>
      <c r="IM15" s="1">
        <v>5</v>
      </c>
      <c r="IN15" s="1" t="s">
        <v>310</v>
      </c>
    </row>
    <row r="16" spans="1:283">
      <c r="A16" s="1" t="s">
        <v>414</v>
      </c>
      <c r="B16" s="1" t="s">
        <v>415</v>
      </c>
      <c r="C16" s="1">
        <v>1615404</v>
      </c>
      <c r="D16" s="1" t="s">
        <v>402</v>
      </c>
      <c r="E16" s="1" t="s">
        <v>384</v>
      </c>
      <c r="F16" s="1" t="s">
        <v>385</v>
      </c>
      <c r="G16" s="1" t="s">
        <v>386</v>
      </c>
      <c r="H16" s="1" t="s">
        <v>286</v>
      </c>
      <c r="I16" s="1" t="s">
        <v>353</v>
      </c>
      <c r="J16" s="1" t="s">
        <v>387</v>
      </c>
      <c r="L16" s="1" t="s">
        <v>289</v>
      </c>
      <c r="N16" s="1" t="s">
        <v>290</v>
      </c>
      <c r="O16" s="1" t="s">
        <v>291</v>
      </c>
      <c r="P16" s="1" t="s">
        <v>291</v>
      </c>
      <c r="Q16" s="1">
        <v>44579.634027777778</v>
      </c>
      <c r="R16" s="1">
        <v>44581.647916666669</v>
      </c>
      <c r="S16" s="1">
        <v>44581.647916666669</v>
      </c>
      <c r="U16" s="1" t="s">
        <v>388</v>
      </c>
      <c r="V16" s="1" t="s">
        <v>316</v>
      </c>
      <c r="X16" s="1">
        <v>0</v>
      </c>
      <c r="Y16" s="1" t="s">
        <v>416</v>
      </c>
      <c r="AA16" s="1" t="s">
        <v>291</v>
      </c>
      <c r="AR16" s="1" t="s">
        <v>417</v>
      </c>
      <c r="AS16" s="1" t="s">
        <v>298</v>
      </c>
      <c r="AX16" s="1">
        <v>2</v>
      </c>
      <c r="BG16" s="1" t="s">
        <v>391</v>
      </c>
      <c r="CI16" s="1" t="s">
        <v>301</v>
      </c>
      <c r="CR16" s="1">
        <v>0</v>
      </c>
      <c r="CU16" s="1">
        <v>0</v>
      </c>
      <c r="DI16" s="1" t="s">
        <v>405</v>
      </c>
      <c r="FB16" s="1" t="s">
        <v>406</v>
      </c>
      <c r="FI16" s="1" t="s">
        <v>305</v>
      </c>
      <c r="GF16" s="1" t="s">
        <v>360</v>
      </c>
      <c r="GJ16" s="1" t="s">
        <v>418</v>
      </c>
      <c r="GK16" s="1">
        <v>9.2233720368547697E+18</v>
      </c>
      <c r="GV16" s="1" t="s">
        <v>298</v>
      </c>
      <c r="HR16" s="1">
        <v>-404</v>
      </c>
      <c r="IJ16" s="1" t="s">
        <v>309</v>
      </c>
      <c r="IM16" s="1">
        <v>5</v>
      </c>
      <c r="IN16" s="1" t="s">
        <v>310</v>
      </c>
    </row>
    <row r="17" spans="1:248">
      <c r="A17" s="1" t="s">
        <v>419</v>
      </c>
      <c r="B17" s="1" t="s">
        <v>420</v>
      </c>
      <c r="C17" s="1">
        <v>1615406</v>
      </c>
      <c r="D17" s="1" t="s">
        <v>402</v>
      </c>
      <c r="E17" s="1" t="s">
        <v>384</v>
      </c>
      <c r="F17" s="1" t="s">
        <v>385</v>
      </c>
      <c r="G17" s="1" t="s">
        <v>386</v>
      </c>
      <c r="H17" s="1" t="s">
        <v>286</v>
      </c>
      <c r="I17" s="1" t="s">
        <v>353</v>
      </c>
      <c r="J17" s="1" t="s">
        <v>387</v>
      </c>
      <c r="L17" s="1" t="s">
        <v>289</v>
      </c>
      <c r="N17" s="1" t="s">
        <v>377</v>
      </c>
      <c r="O17" s="1" t="s">
        <v>291</v>
      </c>
      <c r="P17" s="1" t="s">
        <v>291</v>
      </c>
      <c r="Q17" s="1">
        <v>44579.634027777778</v>
      </c>
      <c r="R17" s="1">
        <v>44581.648611111108</v>
      </c>
      <c r="S17" s="1">
        <v>44581.648611111108</v>
      </c>
      <c r="U17" s="1" t="s">
        <v>388</v>
      </c>
      <c r="V17" s="1" t="s">
        <v>337</v>
      </c>
      <c r="X17" s="1">
        <v>0</v>
      </c>
      <c r="Y17" s="1" t="s">
        <v>416</v>
      </c>
      <c r="AA17" s="1" t="s">
        <v>291</v>
      </c>
      <c r="AR17" s="1" t="s">
        <v>417</v>
      </c>
      <c r="AS17" s="1" t="s">
        <v>298</v>
      </c>
      <c r="AX17" s="1">
        <v>2</v>
      </c>
      <c r="BG17" s="1" t="s">
        <v>391</v>
      </c>
      <c r="CI17" s="1" t="s">
        <v>301</v>
      </c>
      <c r="CR17" s="1">
        <v>0</v>
      </c>
      <c r="CU17" s="1">
        <v>0</v>
      </c>
      <c r="DI17" s="1" t="s">
        <v>405</v>
      </c>
      <c r="FB17" s="1" t="s">
        <v>406</v>
      </c>
      <c r="FI17" s="1" t="s">
        <v>305</v>
      </c>
      <c r="GF17" s="1" t="s">
        <v>360</v>
      </c>
      <c r="GJ17" s="1" t="s">
        <v>421</v>
      </c>
      <c r="GK17" s="1">
        <v>9.2233720368547697E+18</v>
      </c>
      <c r="GV17" s="1" t="s">
        <v>298</v>
      </c>
      <c r="HR17" s="1">
        <v>-404</v>
      </c>
      <c r="IJ17" s="1" t="s">
        <v>309</v>
      </c>
      <c r="IM17" s="1">
        <v>5</v>
      </c>
      <c r="IN17" s="1" t="s">
        <v>310</v>
      </c>
    </row>
    <row r="18" spans="1:248">
      <c r="A18" s="1" t="s">
        <v>422</v>
      </c>
      <c r="B18" s="1" t="s">
        <v>423</v>
      </c>
      <c r="C18" s="1">
        <v>1615410</v>
      </c>
      <c r="D18" s="1" t="s">
        <v>402</v>
      </c>
      <c r="E18" s="1" t="s">
        <v>384</v>
      </c>
      <c r="F18" s="1" t="s">
        <v>385</v>
      </c>
      <c r="G18" s="1" t="s">
        <v>386</v>
      </c>
      <c r="H18" s="1" t="s">
        <v>286</v>
      </c>
      <c r="I18" s="1" t="s">
        <v>353</v>
      </c>
      <c r="J18" s="1" t="s">
        <v>387</v>
      </c>
      <c r="L18" s="1" t="s">
        <v>289</v>
      </c>
      <c r="N18" s="1" t="s">
        <v>315</v>
      </c>
      <c r="O18" s="1" t="s">
        <v>291</v>
      </c>
      <c r="P18" s="1" t="s">
        <v>291</v>
      </c>
      <c r="Q18" s="1">
        <v>44579.634027777778</v>
      </c>
      <c r="R18" s="1">
        <v>44581.648611111108</v>
      </c>
      <c r="S18" s="1">
        <v>44581.648611111108</v>
      </c>
      <c r="U18" s="1" t="s">
        <v>388</v>
      </c>
      <c r="V18" s="1" t="s">
        <v>327</v>
      </c>
      <c r="X18" s="1">
        <v>0</v>
      </c>
      <c r="Y18" s="1" t="s">
        <v>416</v>
      </c>
      <c r="AA18" s="1" t="s">
        <v>291</v>
      </c>
      <c r="AR18" s="1" t="s">
        <v>417</v>
      </c>
      <c r="AS18" s="1" t="s">
        <v>298</v>
      </c>
      <c r="AX18" s="1">
        <v>2</v>
      </c>
      <c r="BG18" s="1" t="s">
        <v>391</v>
      </c>
      <c r="CI18" s="1" t="s">
        <v>301</v>
      </c>
      <c r="CR18" s="1">
        <v>0</v>
      </c>
      <c r="CU18" s="1">
        <v>0</v>
      </c>
      <c r="DI18" s="1" t="s">
        <v>405</v>
      </c>
      <c r="FB18" s="1" t="s">
        <v>406</v>
      </c>
      <c r="FI18" s="1" t="s">
        <v>305</v>
      </c>
      <c r="GF18" s="1" t="s">
        <v>360</v>
      </c>
      <c r="GJ18" s="1" t="s">
        <v>424</v>
      </c>
      <c r="GK18" s="1">
        <v>9.2233720368547697E+18</v>
      </c>
      <c r="GV18" s="1" t="s">
        <v>298</v>
      </c>
      <c r="HR18" s="1">
        <v>-404</v>
      </c>
      <c r="IJ18" s="1" t="s">
        <v>309</v>
      </c>
      <c r="IM18" s="1">
        <v>5</v>
      </c>
      <c r="IN18" s="1" t="s">
        <v>310</v>
      </c>
    </row>
    <row r="19" spans="1:248">
      <c r="A19" s="1" t="s">
        <v>425</v>
      </c>
      <c r="B19" s="1" t="s">
        <v>426</v>
      </c>
      <c r="C19" s="1">
        <v>1615418</v>
      </c>
      <c r="D19" s="1" t="s">
        <v>402</v>
      </c>
      <c r="E19" s="1" t="s">
        <v>384</v>
      </c>
      <c r="F19" s="1" t="s">
        <v>385</v>
      </c>
      <c r="G19" s="1" t="s">
        <v>386</v>
      </c>
      <c r="H19" s="1" t="s">
        <v>286</v>
      </c>
      <c r="I19" s="1" t="s">
        <v>353</v>
      </c>
      <c r="J19" s="1" t="s">
        <v>387</v>
      </c>
      <c r="L19" s="1" t="s">
        <v>289</v>
      </c>
      <c r="N19" s="1" t="s">
        <v>290</v>
      </c>
      <c r="O19" s="1" t="s">
        <v>291</v>
      </c>
      <c r="P19" s="1" t="s">
        <v>291</v>
      </c>
      <c r="Q19" s="1">
        <v>44579.634722222225</v>
      </c>
      <c r="R19" s="1">
        <v>44581.648611111108</v>
      </c>
      <c r="S19" s="1">
        <v>44581.648611111108</v>
      </c>
      <c r="U19" s="1" t="s">
        <v>388</v>
      </c>
      <c r="V19" s="1" t="s">
        <v>316</v>
      </c>
      <c r="X19" s="1">
        <v>0</v>
      </c>
      <c r="Y19" s="1" t="s">
        <v>427</v>
      </c>
      <c r="AA19" s="1" t="s">
        <v>291</v>
      </c>
      <c r="AR19" s="1" t="s">
        <v>428</v>
      </c>
      <c r="AS19" s="1" t="s">
        <v>298</v>
      </c>
      <c r="AX19" s="1">
        <v>2</v>
      </c>
      <c r="BG19" s="1" t="s">
        <v>391</v>
      </c>
      <c r="CI19" s="1" t="s">
        <v>301</v>
      </c>
      <c r="CR19" s="1">
        <v>0</v>
      </c>
      <c r="CU19" s="1">
        <v>0</v>
      </c>
      <c r="DI19" s="1" t="s">
        <v>405</v>
      </c>
      <c r="FB19" s="1" t="s">
        <v>406</v>
      </c>
      <c r="FI19" s="1" t="s">
        <v>305</v>
      </c>
      <c r="GF19" s="1" t="s">
        <v>360</v>
      </c>
      <c r="GJ19" s="1" t="s">
        <v>429</v>
      </c>
      <c r="GK19" s="1">
        <v>9.2233720368547697E+18</v>
      </c>
      <c r="GV19" s="1" t="s">
        <v>298</v>
      </c>
      <c r="HR19" s="1">
        <v>-404</v>
      </c>
      <c r="IJ19" s="1" t="s">
        <v>309</v>
      </c>
      <c r="IM19" s="1">
        <v>3</v>
      </c>
      <c r="IN19" s="1" t="s">
        <v>310</v>
      </c>
    </row>
    <row r="20" spans="1:248">
      <c r="A20" s="1" t="s">
        <v>430</v>
      </c>
      <c r="B20" s="1" t="s">
        <v>431</v>
      </c>
      <c r="C20" s="1">
        <v>1615420</v>
      </c>
      <c r="D20" s="1" t="s">
        <v>402</v>
      </c>
      <c r="E20" s="1" t="s">
        <v>384</v>
      </c>
      <c r="F20" s="1" t="s">
        <v>385</v>
      </c>
      <c r="G20" s="1" t="s">
        <v>386</v>
      </c>
      <c r="H20" s="1" t="s">
        <v>286</v>
      </c>
      <c r="I20" s="1" t="s">
        <v>353</v>
      </c>
      <c r="J20" s="1" t="s">
        <v>387</v>
      </c>
      <c r="L20" s="1" t="s">
        <v>289</v>
      </c>
      <c r="N20" s="1" t="s">
        <v>377</v>
      </c>
      <c r="O20" s="1" t="s">
        <v>291</v>
      </c>
      <c r="P20" s="1" t="s">
        <v>291</v>
      </c>
      <c r="Q20" s="1">
        <v>44579.634722222225</v>
      </c>
      <c r="R20" s="1">
        <v>44581.654861111114</v>
      </c>
      <c r="S20" s="1">
        <v>44581.654861111114</v>
      </c>
      <c r="U20" s="1" t="s">
        <v>388</v>
      </c>
      <c r="V20" s="1" t="s">
        <v>337</v>
      </c>
      <c r="X20" s="1">
        <v>0</v>
      </c>
      <c r="Y20" s="1" t="s">
        <v>427</v>
      </c>
      <c r="AA20" s="1" t="s">
        <v>291</v>
      </c>
      <c r="AR20" s="1" t="s">
        <v>428</v>
      </c>
      <c r="AS20" s="1" t="s">
        <v>298</v>
      </c>
      <c r="AX20" s="1">
        <v>2</v>
      </c>
      <c r="BG20" s="1" t="s">
        <v>391</v>
      </c>
      <c r="CI20" s="1" t="s">
        <v>301</v>
      </c>
      <c r="CR20" s="1">
        <v>0</v>
      </c>
      <c r="CU20" s="1">
        <v>0</v>
      </c>
      <c r="DI20" s="1" t="s">
        <v>405</v>
      </c>
      <c r="FB20" s="1" t="s">
        <v>406</v>
      </c>
      <c r="FI20" s="1" t="s">
        <v>305</v>
      </c>
      <c r="GF20" s="1" t="s">
        <v>360</v>
      </c>
      <c r="GJ20" s="1" t="s">
        <v>432</v>
      </c>
      <c r="GK20" s="1">
        <v>9.2233720368547697E+18</v>
      </c>
      <c r="GV20" s="1" t="s">
        <v>298</v>
      </c>
      <c r="HR20" s="1">
        <v>-404</v>
      </c>
      <c r="IJ20" s="1" t="s">
        <v>309</v>
      </c>
      <c r="IM20" s="1">
        <v>3</v>
      </c>
      <c r="IN20" s="1" t="s">
        <v>310</v>
      </c>
    </row>
    <row r="21" spans="1:248">
      <c r="A21" s="1" t="s">
        <v>433</v>
      </c>
      <c r="B21" s="1" t="s">
        <v>434</v>
      </c>
      <c r="C21" s="1">
        <v>1615424</v>
      </c>
      <c r="D21" s="1" t="s">
        <v>402</v>
      </c>
      <c r="E21" s="1" t="s">
        <v>384</v>
      </c>
      <c r="F21" s="1" t="s">
        <v>385</v>
      </c>
      <c r="G21" s="1" t="s">
        <v>386</v>
      </c>
      <c r="H21" s="1" t="s">
        <v>286</v>
      </c>
      <c r="I21" s="1" t="s">
        <v>353</v>
      </c>
      <c r="J21" s="1" t="s">
        <v>387</v>
      </c>
      <c r="L21" s="1" t="s">
        <v>289</v>
      </c>
      <c r="N21" s="1" t="s">
        <v>315</v>
      </c>
      <c r="O21" s="1" t="s">
        <v>291</v>
      </c>
      <c r="P21" s="1" t="s">
        <v>291</v>
      </c>
      <c r="Q21" s="1">
        <v>44579.634722222225</v>
      </c>
      <c r="R21" s="1">
        <v>44581.654861111114</v>
      </c>
      <c r="S21" s="1">
        <v>44581.654861111114</v>
      </c>
      <c r="U21" s="1" t="s">
        <v>388</v>
      </c>
      <c r="V21" s="1" t="s">
        <v>327</v>
      </c>
      <c r="X21" s="1">
        <v>0</v>
      </c>
      <c r="Y21" s="1" t="s">
        <v>427</v>
      </c>
      <c r="AA21" s="1" t="s">
        <v>291</v>
      </c>
      <c r="AR21" s="1" t="s">
        <v>428</v>
      </c>
      <c r="AS21" s="1" t="s">
        <v>298</v>
      </c>
      <c r="AX21" s="1">
        <v>2</v>
      </c>
      <c r="BG21" s="1" t="s">
        <v>391</v>
      </c>
      <c r="CI21" s="1" t="s">
        <v>301</v>
      </c>
      <c r="CR21" s="1">
        <v>0</v>
      </c>
      <c r="CU21" s="1">
        <v>0</v>
      </c>
      <c r="DI21" s="1" t="s">
        <v>405</v>
      </c>
      <c r="FB21" s="1" t="s">
        <v>406</v>
      </c>
      <c r="FI21" s="1" t="s">
        <v>305</v>
      </c>
      <c r="GF21" s="1" t="s">
        <v>360</v>
      </c>
      <c r="GJ21" s="1" t="s">
        <v>435</v>
      </c>
      <c r="GK21" s="1">
        <v>9.2233720368547697E+18</v>
      </c>
      <c r="GV21" s="1" t="s">
        <v>298</v>
      </c>
      <c r="HR21" s="1">
        <v>-404</v>
      </c>
      <c r="IJ21" s="1" t="s">
        <v>309</v>
      </c>
      <c r="IM21" s="1">
        <v>3</v>
      </c>
      <c r="IN21" s="1" t="s">
        <v>310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I13"/>
  <sheetViews>
    <sheetView workbookViewId="0">
      <selection activeCell="C16" sqref="C16"/>
    </sheetView>
  </sheetViews>
  <sheetFormatPr defaultRowHeight="16.5"/>
  <cols>
    <col min="1" max="1" width="10.42578125" style="1" bestFit="1" customWidth="1"/>
    <col min="2" max="2" width="79.42578125" style="1" customWidth="1"/>
    <col min="3" max="3" width="12.140625" style="1" customWidth="1"/>
    <col min="4" max="4" width="14.5703125" style="1" bestFit="1" customWidth="1"/>
    <col min="5" max="6" width="10.7109375" style="1" customWidth="1"/>
    <col min="7" max="7" width="20.7109375" style="1" customWidth="1"/>
    <col min="8" max="9" width="10.7109375" style="1" customWidth="1"/>
    <col min="10" max="16384" width="9.140625" style="1"/>
  </cols>
  <sheetData>
    <row r="1" spans="1:9">
      <c r="A1" s="8" t="s">
        <v>436</v>
      </c>
      <c r="B1" s="8" t="s">
        <v>437</v>
      </c>
      <c r="C1" s="10" t="s">
        <v>438</v>
      </c>
      <c r="D1" s="8" t="s">
        <v>439</v>
      </c>
      <c r="E1" s="12"/>
      <c r="F1" s="13"/>
      <c r="G1" s="13"/>
      <c r="H1" s="13"/>
      <c r="I1" s="14"/>
    </row>
    <row r="2" spans="1:9">
      <c r="A2" s="9"/>
      <c r="B2" s="9"/>
      <c r="C2" s="11"/>
      <c r="D2" s="9"/>
      <c r="E2" s="3" t="s">
        <v>440</v>
      </c>
      <c r="F2" s="3" t="s">
        <v>441</v>
      </c>
      <c r="G2" s="3" t="s">
        <v>442</v>
      </c>
      <c r="H2" s="3" t="s">
        <v>443</v>
      </c>
      <c r="I2" s="3" t="s">
        <v>444</v>
      </c>
    </row>
    <row r="3" spans="1:9">
      <c r="A3" s="2"/>
      <c r="B3" s="2"/>
      <c r="C3" s="2"/>
      <c r="D3" s="2"/>
      <c r="E3" s="2" t="s">
        <v>445</v>
      </c>
      <c r="F3" s="2" t="s">
        <v>446</v>
      </c>
      <c r="G3" s="2" t="s">
        <v>447</v>
      </c>
      <c r="H3" s="2" t="s">
        <v>448</v>
      </c>
      <c r="I3" s="2">
        <v>3</v>
      </c>
    </row>
    <row r="11" spans="1:9">
      <c r="E11" s="7"/>
    </row>
    <row r="13" spans="1:9">
      <c r="B13" s="5"/>
    </row>
  </sheetData>
  <mergeCells count="5">
    <mergeCell ref="A1:A2"/>
    <mergeCell ref="B1:B2"/>
    <mergeCell ref="C1:C2"/>
    <mergeCell ref="D1:D2"/>
    <mergeCell ref="E1:I1"/>
  </mergeCells>
  <dataValidations count="4">
    <dataValidation type="list" allowBlank="1" showInputMessage="1" showErrorMessage="1" sqref="H3" xr:uid="{00000000-0002-0000-0300-000000000000}">
      <formula1>"Low, Medium, High,Blocker"</formula1>
    </dataValidation>
    <dataValidation type="list" allowBlank="1" showInputMessage="1" showErrorMessage="1" sqref="F3" xr:uid="{00000000-0002-0000-0300-000001000000}">
      <formula1>"Easy, Normal, Hard, Expert"</formula1>
    </dataValidation>
    <dataValidation type="list" allowBlank="1" showInputMessage="1" showErrorMessage="1" sqref="E3" xr:uid="{00000000-0002-0000-0300-000002000000}">
      <formula1>"Small,Medium,Large, Huge"</formula1>
    </dataValidation>
    <dataValidation type="list" allowBlank="1" showInputMessage="1" showErrorMessage="1" sqref="G3" xr:uid="{00000000-0002-0000-0300-000003000000}">
      <formula1>"Chi can lam theo guideline, Can hieu o muc co ban, Can hieu ro moi lam duoc, Muc technical leader moi lam duoc"</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1:I22"/>
  <sheetViews>
    <sheetView workbookViewId="0">
      <selection activeCell="A22" sqref="A22:I22"/>
    </sheetView>
  </sheetViews>
  <sheetFormatPr defaultRowHeight="16.5"/>
  <cols>
    <col min="1" max="1" width="10.42578125" style="1" bestFit="1" customWidth="1"/>
    <col min="2" max="2" width="79.42578125" style="1" customWidth="1"/>
    <col min="3" max="3" width="12.140625" style="1" customWidth="1"/>
    <col min="4" max="4" width="14.5703125" style="1" bestFit="1" customWidth="1"/>
    <col min="5" max="6" width="10.7109375" style="1" customWidth="1"/>
    <col min="7" max="7" width="20.7109375" style="1" customWidth="1"/>
    <col min="8" max="9" width="10.7109375" style="1" customWidth="1"/>
    <col min="10" max="16384" width="9.140625" style="1"/>
  </cols>
  <sheetData>
    <row r="1" spans="1:9">
      <c r="A1" s="8" t="s">
        <v>436</v>
      </c>
      <c r="B1" s="8" t="s">
        <v>437</v>
      </c>
      <c r="C1" s="10" t="s">
        <v>438</v>
      </c>
      <c r="D1" s="8" t="s">
        <v>439</v>
      </c>
      <c r="E1" s="12" t="s">
        <v>2</v>
      </c>
      <c r="F1" s="13"/>
      <c r="G1" s="13"/>
      <c r="H1" s="13"/>
      <c r="I1" s="14"/>
    </row>
    <row r="2" spans="1:9">
      <c r="A2" s="9"/>
      <c r="B2" s="9"/>
      <c r="C2" s="11"/>
      <c r="D2" s="9"/>
      <c r="E2" s="3" t="s">
        <v>440</v>
      </c>
      <c r="F2" s="3" t="s">
        <v>441</v>
      </c>
      <c r="G2" s="3" t="s">
        <v>442</v>
      </c>
      <c r="H2" s="3" t="s">
        <v>443</v>
      </c>
      <c r="I2" s="3" t="s">
        <v>444</v>
      </c>
    </row>
    <row r="3" spans="1:9">
      <c r="A3" s="2" t="s">
        <v>281</v>
      </c>
      <c r="B3" s="2" t="s">
        <v>280</v>
      </c>
      <c r="C3" s="2" t="s">
        <v>284</v>
      </c>
      <c r="D3" s="2">
        <v>2</v>
      </c>
      <c r="E3" s="2" t="s">
        <v>445</v>
      </c>
      <c r="F3" s="2" t="s">
        <v>446</v>
      </c>
      <c r="G3" s="2" t="s">
        <v>447</v>
      </c>
      <c r="H3" s="2" t="s">
        <v>448</v>
      </c>
      <c r="I3" s="2" t="e">
        <f ca="1">Tinhtoan("LaiPV",3)</f>
        <v>#NAME?</v>
      </c>
    </row>
    <row r="4" spans="1:9">
      <c r="A4" s="2" t="s">
        <v>314</v>
      </c>
      <c r="B4" s="2" t="s">
        <v>313</v>
      </c>
      <c r="C4" s="2" t="s">
        <v>284</v>
      </c>
      <c r="D4" s="2">
        <v>2</v>
      </c>
      <c r="E4" s="2" t="s">
        <v>445</v>
      </c>
      <c r="F4" s="2" t="s">
        <v>446</v>
      </c>
      <c r="G4" s="2" t="s">
        <v>447</v>
      </c>
      <c r="H4" s="2" t="s">
        <v>448</v>
      </c>
      <c r="I4" s="2" t="e">
        <f ca="1">Tinhtoan("LaiPV",4)</f>
        <v>#NAME?</v>
      </c>
    </row>
    <row r="5" spans="1:9">
      <c r="A5" s="2" t="s">
        <v>325</v>
      </c>
      <c r="B5" s="2" t="s">
        <v>324</v>
      </c>
      <c r="C5" s="2" t="s">
        <v>284</v>
      </c>
      <c r="D5" s="2">
        <v>2</v>
      </c>
      <c r="E5" s="2" t="s">
        <v>445</v>
      </c>
      <c r="F5" s="2" t="s">
        <v>446</v>
      </c>
      <c r="G5" s="2" t="s">
        <v>447</v>
      </c>
      <c r="H5" s="2" t="s">
        <v>448</v>
      </c>
      <c r="I5" s="2" t="e">
        <f ca="1">Tinhtoan("LaiPV",5)</f>
        <v>#NAME?</v>
      </c>
    </row>
    <row r="6" spans="1:9">
      <c r="A6" s="2" t="s">
        <v>335</v>
      </c>
      <c r="B6" s="2" t="s">
        <v>334</v>
      </c>
      <c r="C6" s="2" t="s">
        <v>284</v>
      </c>
      <c r="D6" s="2">
        <v>2</v>
      </c>
      <c r="E6" s="2" t="s">
        <v>445</v>
      </c>
      <c r="F6" s="2" t="s">
        <v>446</v>
      </c>
      <c r="G6" s="2" t="s">
        <v>447</v>
      </c>
      <c r="H6" s="2" t="s">
        <v>448</v>
      </c>
      <c r="I6" s="2" t="e">
        <f ca="1">Tinhtoan("LaiPV",6)</f>
        <v>#NAME?</v>
      </c>
    </row>
    <row r="7" spans="1:9">
      <c r="A7" s="2" t="s">
        <v>350</v>
      </c>
      <c r="B7" s="2" t="s">
        <v>349</v>
      </c>
      <c r="C7" s="2" t="s">
        <v>351</v>
      </c>
      <c r="D7" s="2">
        <v>2</v>
      </c>
      <c r="E7" s="2" t="s">
        <v>445</v>
      </c>
      <c r="F7" s="2" t="s">
        <v>446</v>
      </c>
      <c r="G7" s="2" t="s">
        <v>447</v>
      </c>
      <c r="H7" s="2" t="s">
        <v>448</v>
      </c>
      <c r="I7" s="2" t="e">
        <f ca="1">Tinhtoan("LaiPV",7)</f>
        <v>#NAME?</v>
      </c>
    </row>
    <row r="8" spans="1:9">
      <c r="A8" s="2" t="s">
        <v>364</v>
      </c>
      <c r="B8" s="2" t="s">
        <v>363</v>
      </c>
      <c r="C8" s="2" t="s">
        <v>351</v>
      </c>
      <c r="D8" s="2">
        <v>2</v>
      </c>
      <c r="E8" s="2" t="s">
        <v>445</v>
      </c>
      <c r="F8" s="2" t="s">
        <v>446</v>
      </c>
      <c r="G8" s="2" t="s">
        <v>447</v>
      </c>
      <c r="H8" s="2" t="s">
        <v>448</v>
      </c>
      <c r="I8" s="2" t="e">
        <f ca="1">Tinhtoan("LaiPV",8)</f>
        <v>#NAME?</v>
      </c>
    </row>
    <row r="9" spans="1:9">
      <c r="A9" s="2" t="s">
        <v>371</v>
      </c>
      <c r="B9" s="2" t="s">
        <v>370</v>
      </c>
      <c r="C9" s="2" t="s">
        <v>351</v>
      </c>
      <c r="D9" s="2">
        <v>2</v>
      </c>
      <c r="E9" s="2" t="s">
        <v>445</v>
      </c>
      <c r="F9" s="2" t="s">
        <v>446</v>
      </c>
      <c r="G9" s="2" t="s">
        <v>447</v>
      </c>
      <c r="H9" s="2" t="s">
        <v>448</v>
      </c>
      <c r="I9" s="2" t="e">
        <f ca="1">Tinhtoan("LaiPV",9)</f>
        <v>#NAME?</v>
      </c>
    </row>
    <row r="10" spans="1:9">
      <c r="A10" s="2" t="s">
        <v>376</v>
      </c>
      <c r="B10" s="2" t="s">
        <v>375</v>
      </c>
      <c r="C10" s="2" t="s">
        <v>351</v>
      </c>
      <c r="D10" s="2">
        <v>2</v>
      </c>
      <c r="E10" s="2" t="s">
        <v>445</v>
      </c>
      <c r="F10" s="2" t="s">
        <v>446</v>
      </c>
      <c r="G10" s="2" t="s">
        <v>447</v>
      </c>
      <c r="H10" s="2" t="s">
        <v>448</v>
      </c>
      <c r="I10" s="2" t="e">
        <f ca="1">Tinhtoan("LaiPV",10)</f>
        <v>#NAME?</v>
      </c>
    </row>
    <row r="11" spans="1:9">
      <c r="A11" s="2" t="s">
        <v>383</v>
      </c>
      <c r="B11" s="2" t="s">
        <v>382</v>
      </c>
      <c r="C11" s="2" t="s">
        <v>385</v>
      </c>
      <c r="D11" s="2">
        <v>5</v>
      </c>
      <c r="E11" s="2" t="s">
        <v>445</v>
      </c>
      <c r="F11" s="2" t="s">
        <v>446</v>
      </c>
      <c r="G11" s="2" t="s">
        <v>447</v>
      </c>
      <c r="H11" s="2" t="s">
        <v>448</v>
      </c>
      <c r="I11" s="2" t="e">
        <f ca="1">Tinhtoan("LaiPV",11)</f>
        <v>#NAME?</v>
      </c>
    </row>
    <row r="12" spans="1:9">
      <c r="A12" s="2" t="s">
        <v>395</v>
      </c>
      <c r="B12" s="2" t="s">
        <v>394</v>
      </c>
      <c r="C12" s="2" t="s">
        <v>385</v>
      </c>
      <c r="D12" s="2">
        <v>5</v>
      </c>
      <c r="E12" s="2" t="s">
        <v>445</v>
      </c>
      <c r="F12" s="2" t="s">
        <v>446</v>
      </c>
      <c r="G12" s="2" t="s">
        <v>447</v>
      </c>
      <c r="H12" s="2" t="s">
        <v>448</v>
      </c>
      <c r="I12" s="2" t="e">
        <f ca="1">Tinhtoan("LaiPV",12)</f>
        <v>#NAME?</v>
      </c>
    </row>
    <row r="13" spans="1:9">
      <c r="A13" s="2" t="s">
        <v>398</v>
      </c>
      <c r="B13" s="2" t="s">
        <v>397</v>
      </c>
      <c r="C13" s="2" t="s">
        <v>385</v>
      </c>
      <c r="D13" s="2">
        <v>5</v>
      </c>
      <c r="E13" s="2" t="s">
        <v>445</v>
      </c>
      <c r="F13" s="2" t="s">
        <v>446</v>
      </c>
      <c r="G13" s="2" t="s">
        <v>447</v>
      </c>
      <c r="H13" s="2" t="s">
        <v>448</v>
      </c>
      <c r="I13" s="2" t="e">
        <f ca="1">Tinhtoan("LaiPV",13)</f>
        <v>#NAME?</v>
      </c>
    </row>
    <row r="14" spans="1:9">
      <c r="A14" s="2" t="s">
        <v>401</v>
      </c>
      <c r="B14" s="2" t="s">
        <v>400</v>
      </c>
      <c r="C14" s="2" t="s">
        <v>385</v>
      </c>
      <c r="D14" s="2">
        <v>5</v>
      </c>
      <c r="E14" s="2" t="s">
        <v>445</v>
      </c>
      <c r="F14" s="2" t="s">
        <v>446</v>
      </c>
      <c r="G14" s="2" t="s">
        <v>447</v>
      </c>
      <c r="H14" s="2" t="s">
        <v>448</v>
      </c>
      <c r="I14" s="2" t="e">
        <f ca="1">Tinhtoan("LaiPV",14)</f>
        <v>#NAME?</v>
      </c>
    </row>
    <row r="15" spans="1:9">
      <c r="A15" s="2" t="s">
        <v>409</v>
      </c>
      <c r="B15" s="2" t="s">
        <v>408</v>
      </c>
      <c r="C15" s="2" t="s">
        <v>385</v>
      </c>
      <c r="D15" s="2">
        <v>5</v>
      </c>
      <c r="E15" s="2" t="s">
        <v>445</v>
      </c>
      <c r="F15" s="2" t="s">
        <v>446</v>
      </c>
      <c r="G15" s="2" t="s">
        <v>447</v>
      </c>
      <c r="H15" s="2" t="s">
        <v>448</v>
      </c>
      <c r="I15" s="2" t="e">
        <f ca="1">Tinhtoan("LaiPV",15)</f>
        <v>#NAME?</v>
      </c>
    </row>
    <row r="16" spans="1:9">
      <c r="A16" s="2" t="s">
        <v>412</v>
      </c>
      <c r="B16" s="2" t="s">
        <v>411</v>
      </c>
      <c r="C16" s="2" t="s">
        <v>385</v>
      </c>
      <c r="D16" s="2">
        <v>5</v>
      </c>
      <c r="E16" s="2" t="s">
        <v>445</v>
      </c>
      <c r="F16" s="2" t="s">
        <v>446</v>
      </c>
      <c r="G16" s="2" t="s">
        <v>447</v>
      </c>
      <c r="H16" s="2" t="s">
        <v>448</v>
      </c>
      <c r="I16" s="2" t="e">
        <f ca="1">Tinhtoan("LaiPV",16)</f>
        <v>#NAME?</v>
      </c>
    </row>
    <row r="17" spans="1:9">
      <c r="A17" s="2" t="s">
        <v>415</v>
      </c>
      <c r="B17" s="2" t="s">
        <v>414</v>
      </c>
      <c r="C17" s="2" t="s">
        <v>385</v>
      </c>
      <c r="D17" s="2">
        <v>5</v>
      </c>
      <c r="E17" s="2" t="s">
        <v>445</v>
      </c>
      <c r="F17" s="2" t="s">
        <v>446</v>
      </c>
      <c r="G17" s="2" t="s">
        <v>447</v>
      </c>
      <c r="H17" s="2" t="s">
        <v>448</v>
      </c>
      <c r="I17" s="2" t="e">
        <f ca="1">Tinhtoan("LaiPV",17)</f>
        <v>#NAME?</v>
      </c>
    </row>
    <row r="18" spans="1:9">
      <c r="A18" s="2" t="s">
        <v>420</v>
      </c>
      <c r="B18" s="2" t="s">
        <v>419</v>
      </c>
      <c r="C18" s="2" t="s">
        <v>385</v>
      </c>
      <c r="D18" s="2">
        <v>5</v>
      </c>
      <c r="E18" s="2" t="s">
        <v>445</v>
      </c>
      <c r="F18" s="2" t="s">
        <v>446</v>
      </c>
      <c r="G18" s="2" t="s">
        <v>447</v>
      </c>
      <c r="H18" s="2" t="s">
        <v>448</v>
      </c>
      <c r="I18" s="2" t="e">
        <f ca="1">Tinhtoan("LaiPV",18)</f>
        <v>#NAME?</v>
      </c>
    </row>
    <row r="19" spans="1:9">
      <c r="A19" s="2" t="s">
        <v>423</v>
      </c>
      <c r="B19" s="2" t="s">
        <v>422</v>
      </c>
      <c r="C19" s="2" t="s">
        <v>385</v>
      </c>
      <c r="D19" s="2">
        <v>5</v>
      </c>
      <c r="E19" s="2" t="s">
        <v>445</v>
      </c>
      <c r="F19" s="2" t="s">
        <v>446</v>
      </c>
      <c r="G19" s="2" t="s">
        <v>447</v>
      </c>
      <c r="H19" s="2" t="s">
        <v>448</v>
      </c>
      <c r="I19" s="2" t="e">
        <f ca="1">Tinhtoan("LaiPV",19)</f>
        <v>#NAME?</v>
      </c>
    </row>
    <row r="20" spans="1:9">
      <c r="A20" s="2" t="s">
        <v>426</v>
      </c>
      <c r="B20" s="2" t="s">
        <v>425</v>
      </c>
      <c r="C20" s="2" t="s">
        <v>385</v>
      </c>
      <c r="D20" s="2">
        <v>3</v>
      </c>
      <c r="E20" s="2" t="s">
        <v>445</v>
      </c>
      <c r="F20" s="2" t="s">
        <v>446</v>
      </c>
      <c r="G20" s="2" t="s">
        <v>447</v>
      </c>
      <c r="H20" s="2" t="s">
        <v>448</v>
      </c>
      <c r="I20" s="2" t="e">
        <f ca="1">Tinhtoan("LaiPV",20)</f>
        <v>#NAME?</v>
      </c>
    </row>
    <row r="21" spans="1:9">
      <c r="A21" s="2" t="s">
        <v>431</v>
      </c>
      <c r="B21" s="2" t="s">
        <v>430</v>
      </c>
      <c r="C21" s="2" t="s">
        <v>385</v>
      </c>
      <c r="D21" s="2">
        <v>3</v>
      </c>
      <c r="E21" s="2" t="s">
        <v>445</v>
      </c>
      <c r="F21" s="2" t="s">
        <v>446</v>
      </c>
      <c r="G21" s="2" t="s">
        <v>447</v>
      </c>
      <c r="H21" s="2" t="s">
        <v>448</v>
      </c>
      <c r="I21" s="2" t="e">
        <f ca="1">Tinhtoan("LaiPV",21)</f>
        <v>#NAME?</v>
      </c>
    </row>
    <row r="22" spans="1:9">
      <c r="A22" s="2" t="s">
        <v>434</v>
      </c>
      <c r="B22" s="2" t="s">
        <v>433</v>
      </c>
      <c r="C22" s="2" t="s">
        <v>385</v>
      </c>
      <c r="D22" s="2">
        <v>3</v>
      </c>
      <c r="E22" s="2" t="s">
        <v>445</v>
      </c>
      <c r="F22" s="2" t="s">
        <v>446</v>
      </c>
      <c r="G22" s="2" t="s">
        <v>447</v>
      </c>
      <c r="H22" s="2" t="s">
        <v>448</v>
      </c>
      <c r="I22" s="2" t="e">
        <f ca="1">Tinhtoan("LaiPV",22)</f>
        <v>#NAME?</v>
      </c>
    </row>
  </sheetData>
  <mergeCells count="5">
    <mergeCell ref="A1:A2"/>
    <mergeCell ref="B1:B2"/>
    <mergeCell ref="C1:C2"/>
    <mergeCell ref="D1:D2"/>
    <mergeCell ref="E1:I1"/>
  </mergeCells>
  <dataValidations count="4">
    <dataValidation type="list" allowBlank="1" showInputMessage="1" showErrorMessage="1" sqref="G3:G22" xr:uid="{00000000-0002-0000-0400-000000000000}">
      <formula1>"Chi can lam theo guideline, Can hieu o muc co ban, Can hieu ro moi lam duoc, Muc technical leader moi lam duoc"</formula1>
    </dataValidation>
    <dataValidation type="list" allowBlank="1" showInputMessage="1" showErrorMessage="1" sqref="E3:E22" xr:uid="{00000000-0002-0000-0400-000001000000}">
      <formula1>"Small,Medium,Large, Huge"</formula1>
    </dataValidation>
    <dataValidation type="list" allowBlank="1" showInputMessage="1" showErrorMessage="1" sqref="F3:F22" xr:uid="{00000000-0002-0000-0400-000002000000}">
      <formula1>"Easy, Normal, Hard, Expert"</formula1>
    </dataValidation>
    <dataValidation type="list" allowBlank="1" showInputMessage="1" showErrorMessage="1" sqref="H3:H22" xr:uid="{00000000-0002-0000-0400-000003000000}">
      <formula1>"Low, Medium, High,Blocker"</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I22"/>
  <sheetViews>
    <sheetView workbookViewId="0">
      <selection activeCell="A22" sqref="A22:I22"/>
    </sheetView>
  </sheetViews>
  <sheetFormatPr defaultRowHeight="16.5"/>
  <cols>
    <col min="1" max="1" width="10.42578125" style="1" bestFit="1" customWidth="1"/>
    <col min="2" max="2" width="79.42578125" style="1" customWidth="1"/>
    <col min="3" max="3" width="12.140625" style="1" customWidth="1"/>
    <col min="4" max="4" width="14.5703125" style="1" bestFit="1" customWidth="1"/>
    <col min="5" max="6" width="10.7109375" style="1" customWidth="1"/>
    <col min="7" max="7" width="20.7109375" style="1" customWidth="1"/>
    <col min="8" max="9" width="10.7109375" style="1" customWidth="1"/>
    <col min="10" max="16384" width="9.140625" style="1"/>
  </cols>
  <sheetData>
    <row r="1" spans="1:9">
      <c r="A1" s="8" t="s">
        <v>436</v>
      </c>
      <c r="B1" s="8" t="s">
        <v>437</v>
      </c>
      <c r="C1" s="10" t="s">
        <v>438</v>
      </c>
      <c r="D1" s="8" t="s">
        <v>439</v>
      </c>
      <c r="E1" s="12" t="s">
        <v>3</v>
      </c>
      <c r="F1" s="13"/>
      <c r="G1" s="13"/>
      <c r="H1" s="13"/>
      <c r="I1" s="14"/>
    </row>
    <row r="2" spans="1:9">
      <c r="A2" s="9"/>
      <c r="B2" s="9"/>
      <c r="C2" s="11"/>
      <c r="D2" s="9"/>
      <c r="E2" s="3" t="s">
        <v>440</v>
      </c>
      <c r="F2" s="3" t="s">
        <v>441</v>
      </c>
      <c r="G2" s="3" t="s">
        <v>442</v>
      </c>
      <c r="H2" s="3" t="s">
        <v>443</v>
      </c>
      <c r="I2" s="3" t="s">
        <v>444</v>
      </c>
    </row>
    <row r="3" spans="1:9">
      <c r="A3" s="2" t="s">
        <v>281</v>
      </c>
      <c r="B3" s="2" t="s">
        <v>280</v>
      </c>
      <c r="C3" s="2" t="s">
        <v>284</v>
      </c>
      <c r="D3" s="2">
        <v>2</v>
      </c>
      <c r="E3" s="2" t="s">
        <v>445</v>
      </c>
      <c r="F3" s="2" t="s">
        <v>446</v>
      </c>
      <c r="G3" s="2" t="s">
        <v>447</v>
      </c>
      <c r="H3" s="2" t="s">
        <v>448</v>
      </c>
      <c r="I3" s="2" t="e">
        <f ca="1">Tinhtoan("UyenPLC",3)</f>
        <v>#NAME?</v>
      </c>
    </row>
    <row r="4" spans="1:9">
      <c r="A4" s="2" t="s">
        <v>314</v>
      </c>
      <c r="B4" s="2" t="s">
        <v>313</v>
      </c>
      <c r="C4" s="2" t="s">
        <v>284</v>
      </c>
      <c r="D4" s="2">
        <v>2</v>
      </c>
      <c r="E4" s="2" t="s">
        <v>445</v>
      </c>
      <c r="F4" s="2" t="s">
        <v>446</v>
      </c>
      <c r="G4" s="2" t="s">
        <v>447</v>
      </c>
      <c r="H4" s="2" t="s">
        <v>448</v>
      </c>
      <c r="I4" s="2" t="e">
        <f ca="1">Tinhtoan("UyenPLC",4)</f>
        <v>#NAME?</v>
      </c>
    </row>
    <row r="5" spans="1:9">
      <c r="A5" s="2" t="s">
        <v>325</v>
      </c>
      <c r="B5" s="2" t="s">
        <v>324</v>
      </c>
      <c r="C5" s="2" t="s">
        <v>284</v>
      </c>
      <c r="D5" s="2">
        <v>2</v>
      </c>
      <c r="E5" s="2" t="s">
        <v>445</v>
      </c>
      <c r="F5" s="2" t="s">
        <v>446</v>
      </c>
      <c r="G5" s="2" t="s">
        <v>447</v>
      </c>
      <c r="H5" s="2" t="s">
        <v>448</v>
      </c>
      <c r="I5" s="2" t="e">
        <f ca="1">Tinhtoan("UyenPLC",5)</f>
        <v>#NAME?</v>
      </c>
    </row>
    <row r="6" spans="1:9">
      <c r="A6" s="2" t="s">
        <v>335</v>
      </c>
      <c r="B6" s="2" t="s">
        <v>334</v>
      </c>
      <c r="C6" s="2" t="s">
        <v>284</v>
      </c>
      <c r="D6" s="2">
        <v>2</v>
      </c>
      <c r="E6" s="2" t="s">
        <v>445</v>
      </c>
      <c r="F6" s="2" t="s">
        <v>446</v>
      </c>
      <c r="G6" s="2" t="s">
        <v>447</v>
      </c>
      <c r="H6" s="2" t="s">
        <v>448</v>
      </c>
      <c r="I6" s="2" t="e">
        <f ca="1">Tinhtoan("UyenPLC",6)</f>
        <v>#NAME?</v>
      </c>
    </row>
    <row r="7" spans="1:9">
      <c r="A7" s="2" t="s">
        <v>350</v>
      </c>
      <c r="B7" s="2" t="s">
        <v>349</v>
      </c>
      <c r="C7" s="2" t="s">
        <v>351</v>
      </c>
      <c r="D7" s="2">
        <v>2</v>
      </c>
      <c r="E7" s="2" t="s">
        <v>445</v>
      </c>
      <c r="F7" s="2" t="s">
        <v>446</v>
      </c>
      <c r="G7" s="2" t="s">
        <v>447</v>
      </c>
      <c r="H7" s="2" t="s">
        <v>448</v>
      </c>
      <c r="I7" s="2" t="e">
        <f ca="1">Tinhtoan("UyenPLC",7)</f>
        <v>#NAME?</v>
      </c>
    </row>
    <row r="8" spans="1:9">
      <c r="A8" s="2" t="s">
        <v>364</v>
      </c>
      <c r="B8" s="2" t="s">
        <v>363</v>
      </c>
      <c r="C8" s="2" t="s">
        <v>351</v>
      </c>
      <c r="D8" s="2">
        <v>2</v>
      </c>
      <c r="E8" s="2" t="s">
        <v>445</v>
      </c>
      <c r="F8" s="2" t="s">
        <v>446</v>
      </c>
      <c r="G8" s="2" t="s">
        <v>447</v>
      </c>
      <c r="H8" s="2" t="s">
        <v>448</v>
      </c>
      <c r="I8" s="2" t="e">
        <f ca="1">Tinhtoan("UyenPLC",8)</f>
        <v>#NAME?</v>
      </c>
    </row>
    <row r="9" spans="1:9">
      <c r="A9" s="2" t="s">
        <v>371</v>
      </c>
      <c r="B9" s="2" t="s">
        <v>370</v>
      </c>
      <c r="C9" s="2" t="s">
        <v>351</v>
      </c>
      <c r="D9" s="2">
        <v>2</v>
      </c>
      <c r="E9" s="2" t="s">
        <v>445</v>
      </c>
      <c r="F9" s="2" t="s">
        <v>446</v>
      </c>
      <c r="G9" s="2" t="s">
        <v>447</v>
      </c>
      <c r="H9" s="2" t="s">
        <v>448</v>
      </c>
      <c r="I9" s="2" t="e">
        <f ca="1">Tinhtoan("UyenPLC",9)</f>
        <v>#NAME?</v>
      </c>
    </row>
    <row r="10" spans="1:9">
      <c r="A10" s="2" t="s">
        <v>376</v>
      </c>
      <c r="B10" s="2" t="s">
        <v>375</v>
      </c>
      <c r="C10" s="2" t="s">
        <v>351</v>
      </c>
      <c r="D10" s="2">
        <v>2</v>
      </c>
      <c r="E10" s="2" t="s">
        <v>445</v>
      </c>
      <c r="F10" s="2" t="s">
        <v>446</v>
      </c>
      <c r="G10" s="2" t="s">
        <v>447</v>
      </c>
      <c r="H10" s="2" t="s">
        <v>448</v>
      </c>
      <c r="I10" s="2" t="e">
        <f ca="1">Tinhtoan("UyenPLC",10)</f>
        <v>#NAME?</v>
      </c>
    </row>
    <row r="11" spans="1:9">
      <c r="A11" s="2" t="s">
        <v>383</v>
      </c>
      <c r="B11" s="2" t="s">
        <v>382</v>
      </c>
      <c r="C11" s="2" t="s">
        <v>385</v>
      </c>
      <c r="D11" s="2">
        <v>5</v>
      </c>
      <c r="E11" s="2" t="s">
        <v>445</v>
      </c>
      <c r="F11" s="2" t="s">
        <v>446</v>
      </c>
      <c r="G11" s="2" t="s">
        <v>447</v>
      </c>
      <c r="H11" s="2" t="s">
        <v>448</v>
      </c>
      <c r="I11" s="2" t="e">
        <f ca="1">Tinhtoan("UyenPLC",11)</f>
        <v>#NAME?</v>
      </c>
    </row>
    <row r="12" spans="1:9">
      <c r="A12" s="2" t="s">
        <v>395</v>
      </c>
      <c r="B12" s="2" t="s">
        <v>394</v>
      </c>
      <c r="C12" s="2" t="s">
        <v>385</v>
      </c>
      <c r="D12" s="2">
        <v>5</v>
      </c>
      <c r="E12" s="2" t="s">
        <v>445</v>
      </c>
      <c r="F12" s="2" t="s">
        <v>446</v>
      </c>
      <c r="G12" s="2" t="s">
        <v>447</v>
      </c>
      <c r="H12" s="2" t="s">
        <v>448</v>
      </c>
      <c r="I12" s="2" t="e">
        <f ca="1">Tinhtoan("UyenPLC",12)</f>
        <v>#NAME?</v>
      </c>
    </row>
    <row r="13" spans="1:9">
      <c r="A13" s="2" t="s">
        <v>398</v>
      </c>
      <c r="B13" s="2" t="s">
        <v>397</v>
      </c>
      <c r="C13" s="2" t="s">
        <v>385</v>
      </c>
      <c r="D13" s="2">
        <v>5</v>
      </c>
      <c r="E13" s="2" t="s">
        <v>445</v>
      </c>
      <c r="F13" s="2" t="s">
        <v>446</v>
      </c>
      <c r="G13" s="2" t="s">
        <v>447</v>
      </c>
      <c r="H13" s="2" t="s">
        <v>448</v>
      </c>
      <c r="I13" s="2" t="e">
        <f ca="1">Tinhtoan("UyenPLC",13)</f>
        <v>#NAME?</v>
      </c>
    </row>
    <row r="14" spans="1:9">
      <c r="A14" s="2" t="s">
        <v>401</v>
      </c>
      <c r="B14" s="2" t="s">
        <v>400</v>
      </c>
      <c r="C14" s="2" t="s">
        <v>385</v>
      </c>
      <c r="D14" s="2">
        <v>5</v>
      </c>
      <c r="E14" s="2" t="s">
        <v>445</v>
      </c>
      <c r="F14" s="2" t="s">
        <v>446</v>
      </c>
      <c r="G14" s="2" t="s">
        <v>447</v>
      </c>
      <c r="H14" s="2" t="s">
        <v>448</v>
      </c>
      <c r="I14" s="2" t="e">
        <f ca="1">Tinhtoan("UyenPLC",14)</f>
        <v>#NAME?</v>
      </c>
    </row>
    <row r="15" spans="1:9">
      <c r="A15" s="2" t="s">
        <v>409</v>
      </c>
      <c r="B15" s="2" t="s">
        <v>408</v>
      </c>
      <c r="C15" s="2" t="s">
        <v>385</v>
      </c>
      <c r="D15" s="2">
        <v>5</v>
      </c>
      <c r="E15" s="2" t="s">
        <v>445</v>
      </c>
      <c r="F15" s="2" t="s">
        <v>446</v>
      </c>
      <c r="G15" s="2" t="s">
        <v>447</v>
      </c>
      <c r="H15" s="2" t="s">
        <v>448</v>
      </c>
      <c r="I15" s="2" t="e">
        <f ca="1">Tinhtoan("UyenPLC",15)</f>
        <v>#NAME?</v>
      </c>
    </row>
    <row r="16" spans="1:9">
      <c r="A16" s="2" t="s">
        <v>412</v>
      </c>
      <c r="B16" s="2" t="s">
        <v>411</v>
      </c>
      <c r="C16" s="2" t="s">
        <v>385</v>
      </c>
      <c r="D16" s="2">
        <v>5</v>
      </c>
      <c r="E16" s="2" t="s">
        <v>445</v>
      </c>
      <c r="F16" s="2" t="s">
        <v>446</v>
      </c>
      <c r="G16" s="2" t="s">
        <v>447</v>
      </c>
      <c r="H16" s="2" t="s">
        <v>448</v>
      </c>
      <c r="I16" s="2" t="e">
        <f ca="1">Tinhtoan("UyenPLC",16)</f>
        <v>#NAME?</v>
      </c>
    </row>
    <row r="17" spans="1:9">
      <c r="A17" s="2" t="s">
        <v>415</v>
      </c>
      <c r="B17" s="2" t="s">
        <v>414</v>
      </c>
      <c r="C17" s="2" t="s">
        <v>385</v>
      </c>
      <c r="D17" s="2">
        <v>5</v>
      </c>
      <c r="E17" s="2" t="s">
        <v>445</v>
      </c>
      <c r="F17" s="2" t="s">
        <v>446</v>
      </c>
      <c r="G17" s="2" t="s">
        <v>447</v>
      </c>
      <c r="H17" s="2" t="s">
        <v>448</v>
      </c>
      <c r="I17" s="2" t="e">
        <f ca="1">Tinhtoan("UyenPLC",17)</f>
        <v>#NAME?</v>
      </c>
    </row>
    <row r="18" spans="1:9">
      <c r="A18" s="2" t="s">
        <v>420</v>
      </c>
      <c r="B18" s="2" t="s">
        <v>419</v>
      </c>
      <c r="C18" s="2" t="s">
        <v>385</v>
      </c>
      <c r="D18" s="2">
        <v>5</v>
      </c>
      <c r="E18" s="2" t="s">
        <v>445</v>
      </c>
      <c r="F18" s="2" t="s">
        <v>446</v>
      </c>
      <c r="G18" s="2" t="s">
        <v>447</v>
      </c>
      <c r="H18" s="2" t="s">
        <v>448</v>
      </c>
      <c r="I18" s="2" t="e">
        <f ca="1">Tinhtoan("UyenPLC",18)</f>
        <v>#NAME?</v>
      </c>
    </row>
    <row r="19" spans="1:9">
      <c r="A19" s="2" t="s">
        <v>423</v>
      </c>
      <c r="B19" s="2" t="s">
        <v>422</v>
      </c>
      <c r="C19" s="2" t="s">
        <v>385</v>
      </c>
      <c r="D19" s="2">
        <v>5</v>
      </c>
      <c r="E19" s="2" t="s">
        <v>445</v>
      </c>
      <c r="F19" s="2" t="s">
        <v>446</v>
      </c>
      <c r="G19" s="2" t="s">
        <v>447</v>
      </c>
      <c r="H19" s="2" t="s">
        <v>448</v>
      </c>
      <c r="I19" s="2" t="e">
        <f ca="1">Tinhtoan("UyenPLC",19)</f>
        <v>#NAME?</v>
      </c>
    </row>
    <row r="20" spans="1:9">
      <c r="A20" s="2" t="s">
        <v>426</v>
      </c>
      <c r="B20" s="2" t="s">
        <v>425</v>
      </c>
      <c r="C20" s="2" t="s">
        <v>385</v>
      </c>
      <c r="D20" s="2">
        <v>3</v>
      </c>
      <c r="E20" s="2" t="s">
        <v>445</v>
      </c>
      <c r="F20" s="2" t="s">
        <v>446</v>
      </c>
      <c r="G20" s="2" t="s">
        <v>447</v>
      </c>
      <c r="H20" s="2" t="s">
        <v>448</v>
      </c>
      <c r="I20" s="2" t="e">
        <f ca="1">Tinhtoan("UyenPLC",20)</f>
        <v>#NAME?</v>
      </c>
    </row>
    <row r="21" spans="1:9">
      <c r="A21" s="2" t="s">
        <v>431</v>
      </c>
      <c r="B21" s="2" t="s">
        <v>430</v>
      </c>
      <c r="C21" s="2" t="s">
        <v>385</v>
      </c>
      <c r="D21" s="2">
        <v>3</v>
      </c>
      <c r="E21" s="2" t="s">
        <v>445</v>
      </c>
      <c r="F21" s="2" t="s">
        <v>446</v>
      </c>
      <c r="G21" s="2" t="s">
        <v>447</v>
      </c>
      <c r="H21" s="2" t="s">
        <v>448</v>
      </c>
      <c r="I21" s="2" t="e">
        <f ca="1">Tinhtoan("UyenPLC",21)</f>
        <v>#NAME?</v>
      </c>
    </row>
    <row r="22" spans="1:9">
      <c r="A22" s="2" t="s">
        <v>434</v>
      </c>
      <c r="B22" s="2" t="s">
        <v>433</v>
      </c>
      <c r="C22" s="2" t="s">
        <v>385</v>
      </c>
      <c r="D22" s="2">
        <v>3</v>
      </c>
      <c r="E22" s="2" t="s">
        <v>445</v>
      </c>
      <c r="F22" s="2" t="s">
        <v>446</v>
      </c>
      <c r="G22" s="2" t="s">
        <v>447</v>
      </c>
      <c r="H22" s="2" t="s">
        <v>448</v>
      </c>
      <c r="I22" s="2" t="e">
        <f ca="1">Tinhtoan("UyenPLC",22)</f>
        <v>#NAME?</v>
      </c>
    </row>
  </sheetData>
  <mergeCells count="5">
    <mergeCell ref="A1:A2"/>
    <mergeCell ref="B1:B2"/>
    <mergeCell ref="C1:C2"/>
    <mergeCell ref="D1:D2"/>
    <mergeCell ref="E1:I1"/>
  </mergeCells>
  <dataValidations count="4">
    <dataValidation type="list" allowBlank="1" showInputMessage="1" showErrorMessage="1" sqref="G3:G22" xr:uid="{00000000-0002-0000-0500-000000000000}">
      <formula1>"Chi can lam theo guideline, Can hieu o muc co ban, Can hieu ro moi lam duoc, Muc technical leader moi lam duoc"</formula1>
    </dataValidation>
    <dataValidation type="list" allowBlank="1" showInputMessage="1" showErrorMessage="1" sqref="E3:E22" xr:uid="{00000000-0002-0000-0500-000001000000}">
      <formula1>"Small,Medium,Large, Huge"</formula1>
    </dataValidation>
    <dataValidation type="list" allowBlank="1" showInputMessage="1" showErrorMessage="1" sqref="F3:F22" xr:uid="{00000000-0002-0000-0500-000002000000}">
      <formula1>"Easy, Normal, Hard, Expert"</formula1>
    </dataValidation>
    <dataValidation type="list" allowBlank="1" showInputMessage="1" showErrorMessage="1" sqref="H3:H22" xr:uid="{00000000-0002-0000-0500-000003000000}">
      <formula1>"Low, Medium, High,Blocker"</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I22"/>
  <sheetViews>
    <sheetView workbookViewId="0">
      <selection activeCell="E28" sqref="E27:E28"/>
    </sheetView>
  </sheetViews>
  <sheetFormatPr defaultRowHeight="16.5"/>
  <cols>
    <col min="1" max="1" width="10.42578125" style="1" bestFit="1" customWidth="1"/>
    <col min="2" max="2" width="79.42578125" style="1" customWidth="1"/>
    <col min="3" max="3" width="12.140625" style="1" customWidth="1"/>
    <col min="4" max="4" width="14.5703125" style="1" bestFit="1" customWidth="1"/>
    <col min="5" max="6" width="10.7109375" style="1" customWidth="1"/>
    <col min="7" max="7" width="20.7109375" style="1" customWidth="1"/>
    <col min="8" max="9" width="10.7109375" style="1" customWidth="1"/>
    <col min="10" max="16384" width="9.140625" style="1"/>
  </cols>
  <sheetData>
    <row r="1" spans="1:9">
      <c r="A1" s="8" t="s">
        <v>436</v>
      </c>
      <c r="B1" s="8" t="s">
        <v>437</v>
      </c>
      <c r="C1" s="10" t="s">
        <v>438</v>
      </c>
      <c r="D1" s="8" t="s">
        <v>439</v>
      </c>
      <c r="E1" s="12" t="s">
        <v>4</v>
      </c>
      <c r="F1" s="13"/>
      <c r="G1" s="13"/>
      <c r="H1" s="13"/>
      <c r="I1" s="14"/>
    </row>
    <row r="2" spans="1:9">
      <c r="A2" s="9"/>
      <c r="B2" s="9"/>
      <c r="C2" s="11"/>
      <c r="D2" s="9"/>
      <c r="E2" s="3" t="s">
        <v>440</v>
      </c>
      <c r="F2" s="3" t="s">
        <v>441</v>
      </c>
      <c r="G2" s="3" t="s">
        <v>442</v>
      </c>
      <c r="H2" s="3" t="s">
        <v>443</v>
      </c>
      <c r="I2" s="3" t="s">
        <v>444</v>
      </c>
    </row>
    <row r="3" spans="1:9">
      <c r="A3" s="2" t="s">
        <v>281</v>
      </c>
      <c r="B3" s="2" t="s">
        <v>280</v>
      </c>
      <c r="C3" s="2" t="s">
        <v>284</v>
      </c>
      <c r="D3" s="2">
        <v>2</v>
      </c>
      <c r="E3" s="2" t="s">
        <v>445</v>
      </c>
      <c r="F3" s="2" t="s">
        <v>446</v>
      </c>
      <c r="G3" s="2" t="s">
        <v>447</v>
      </c>
      <c r="H3" s="2" t="s">
        <v>448</v>
      </c>
      <c r="I3" s="2" t="e" cm="1">
        <f t="array" aca="1" ref="I3" ca="1">Tinhtoan("0",3)</f>
        <v>#NAME?</v>
      </c>
    </row>
    <row r="4" spans="1:9">
      <c r="A4" s="2" t="s">
        <v>314</v>
      </c>
      <c r="B4" s="2" t="s">
        <v>313</v>
      </c>
      <c r="C4" s="2" t="s">
        <v>284</v>
      </c>
      <c r="D4" s="2">
        <v>2</v>
      </c>
      <c r="E4" s="2" t="s">
        <v>445</v>
      </c>
      <c r="F4" s="2" t="s">
        <v>446</v>
      </c>
      <c r="G4" s="2" t="s">
        <v>447</v>
      </c>
      <c r="H4" s="2" t="s">
        <v>448</v>
      </c>
      <c r="I4" s="2" t="e" cm="1">
        <f t="array" aca="1" ref="I4" ca="1">Tinhtoan("ChuongNM",4)</f>
        <v>#NAME?</v>
      </c>
    </row>
    <row r="5" spans="1:9">
      <c r="A5" s="2" t="s">
        <v>325</v>
      </c>
      <c r="B5" s="2" t="s">
        <v>324</v>
      </c>
      <c r="C5" s="2" t="s">
        <v>284</v>
      </c>
      <c r="D5" s="2">
        <v>2</v>
      </c>
      <c r="E5" s="2" t="s">
        <v>445</v>
      </c>
      <c r="F5" s="2" t="s">
        <v>446</v>
      </c>
      <c r="G5" s="2" t="s">
        <v>447</v>
      </c>
      <c r="H5" s="2" t="s">
        <v>448</v>
      </c>
      <c r="I5" s="2" t="e" cm="1">
        <f t="array" aca="1" ref="I5" ca="1">Tinhtoan("ChuongNM",5)</f>
        <v>#NAME?</v>
      </c>
    </row>
    <row r="6" spans="1:9">
      <c r="A6" s="2" t="s">
        <v>335</v>
      </c>
      <c r="B6" s="2" t="s">
        <v>334</v>
      </c>
      <c r="C6" s="2" t="s">
        <v>284</v>
      </c>
      <c r="D6" s="2">
        <v>2</v>
      </c>
      <c r="E6" s="2" t="s">
        <v>445</v>
      </c>
      <c r="F6" s="2" t="s">
        <v>446</v>
      </c>
      <c r="G6" s="2" t="s">
        <v>447</v>
      </c>
      <c r="H6" s="2" t="s">
        <v>448</v>
      </c>
      <c r="I6" s="2" t="e" cm="1">
        <f t="array" aca="1" ref="I6" ca="1">Tinhtoan("ChuongNM",6)</f>
        <v>#NAME?</v>
      </c>
    </row>
    <row r="7" spans="1:9">
      <c r="A7" s="2" t="s">
        <v>350</v>
      </c>
      <c r="B7" s="2" t="s">
        <v>349</v>
      </c>
      <c r="C7" s="2" t="s">
        <v>351</v>
      </c>
      <c r="D7" s="2">
        <v>2</v>
      </c>
      <c r="E7" s="2" t="s">
        <v>445</v>
      </c>
      <c r="F7" s="2" t="s">
        <v>446</v>
      </c>
      <c r="G7" s="2" t="s">
        <v>447</v>
      </c>
      <c r="H7" s="2" t="s">
        <v>448</v>
      </c>
      <c r="I7" s="2" t="e" cm="1">
        <f t="array" aca="1" ref="I7" ca="1">Tinhtoan("ChuongNM",7)</f>
        <v>#NAME?</v>
      </c>
    </row>
    <row r="8" spans="1:9">
      <c r="A8" s="2" t="s">
        <v>364</v>
      </c>
      <c r="B8" s="2" t="s">
        <v>363</v>
      </c>
      <c r="C8" s="2" t="s">
        <v>351</v>
      </c>
      <c r="D8" s="2">
        <v>2</v>
      </c>
      <c r="E8" s="2" t="s">
        <v>445</v>
      </c>
      <c r="F8" s="2" t="s">
        <v>446</v>
      </c>
      <c r="G8" s="2" t="s">
        <v>447</v>
      </c>
      <c r="H8" s="2" t="s">
        <v>448</v>
      </c>
      <c r="I8" s="2" t="e" cm="1">
        <f t="array" aca="1" ref="I8" ca="1">Tinhtoan("ChuongNM",8)</f>
        <v>#NAME?</v>
      </c>
    </row>
    <row r="9" spans="1:9">
      <c r="A9" s="2" t="s">
        <v>371</v>
      </c>
      <c r="B9" s="2" t="s">
        <v>370</v>
      </c>
      <c r="C9" s="2" t="s">
        <v>351</v>
      </c>
      <c r="D9" s="2">
        <v>2</v>
      </c>
      <c r="E9" s="2" t="s">
        <v>445</v>
      </c>
      <c r="F9" s="2" t="s">
        <v>446</v>
      </c>
      <c r="G9" s="2" t="s">
        <v>447</v>
      </c>
      <c r="H9" s="2" t="s">
        <v>448</v>
      </c>
      <c r="I9" s="2" t="e">
        <f ca="1">Tinhtoan("ChuongNM",9)</f>
        <v>#NAME?</v>
      </c>
    </row>
    <row r="10" spans="1:9">
      <c r="A10" s="2" t="s">
        <v>376</v>
      </c>
      <c r="B10" s="2" t="s">
        <v>375</v>
      </c>
      <c r="C10" s="2" t="s">
        <v>351</v>
      </c>
      <c r="D10" s="2">
        <v>2</v>
      </c>
      <c r="E10" s="2" t="s">
        <v>445</v>
      </c>
      <c r="F10" s="2" t="s">
        <v>446</v>
      </c>
      <c r="G10" s="2" t="s">
        <v>447</v>
      </c>
      <c r="H10" s="2" t="s">
        <v>448</v>
      </c>
      <c r="I10" s="2" t="e">
        <f ca="1">Tinhtoan("ChuongNM",10)</f>
        <v>#NAME?</v>
      </c>
    </row>
    <row r="11" spans="1:9">
      <c r="A11" s="2" t="s">
        <v>383</v>
      </c>
      <c r="B11" s="2" t="s">
        <v>382</v>
      </c>
      <c r="C11" s="2" t="s">
        <v>385</v>
      </c>
      <c r="D11" s="2">
        <v>5</v>
      </c>
      <c r="E11" s="2" t="s">
        <v>445</v>
      </c>
      <c r="F11" s="2" t="s">
        <v>446</v>
      </c>
      <c r="G11" s="2" t="s">
        <v>447</v>
      </c>
      <c r="H11" s="2" t="s">
        <v>448</v>
      </c>
      <c r="I11" s="2" t="e">
        <f ca="1">Tinhtoan("ChuongNM",11)</f>
        <v>#NAME?</v>
      </c>
    </row>
    <row r="12" spans="1:9">
      <c r="A12" s="2" t="s">
        <v>395</v>
      </c>
      <c r="B12" s="2" t="s">
        <v>394</v>
      </c>
      <c r="C12" s="2" t="s">
        <v>385</v>
      </c>
      <c r="D12" s="2">
        <v>5</v>
      </c>
      <c r="E12" s="2" t="s">
        <v>445</v>
      </c>
      <c r="F12" s="2" t="s">
        <v>446</v>
      </c>
      <c r="G12" s="2" t="s">
        <v>447</v>
      </c>
      <c r="H12" s="2" t="s">
        <v>448</v>
      </c>
      <c r="I12" s="2" t="e">
        <f ca="1">Tinhtoan("ChuongNM",12)</f>
        <v>#NAME?</v>
      </c>
    </row>
    <row r="13" spans="1:9">
      <c r="A13" s="2" t="s">
        <v>398</v>
      </c>
      <c r="B13" s="2" t="s">
        <v>397</v>
      </c>
      <c r="C13" s="2" t="s">
        <v>385</v>
      </c>
      <c r="D13" s="2">
        <v>5</v>
      </c>
      <c r="E13" s="2" t="s">
        <v>445</v>
      </c>
      <c r="F13" s="2" t="s">
        <v>446</v>
      </c>
      <c r="G13" s="2" t="s">
        <v>447</v>
      </c>
      <c r="H13" s="2" t="s">
        <v>448</v>
      </c>
      <c r="I13" s="2" t="e">
        <f ca="1">Tinhtoan("ChuongNM",13)</f>
        <v>#NAME?</v>
      </c>
    </row>
    <row r="14" spans="1:9">
      <c r="A14" s="2" t="s">
        <v>401</v>
      </c>
      <c r="B14" s="2" t="s">
        <v>400</v>
      </c>
      <c r="C14" s="2" t="s">
        <v>385</v>
      </c>
      <c r="D14" s="2">
        <v>5</v>
      </c>
      <c r="E14" s="2" t="s">
        <v>445</v>
      </c>
      <c r="F14" s="2" t="s">
        <v>446</v>
      </c>
      <c r="G14" s="2" t="s">
        <v>447</v>
      </c>
      <c r="H14" s="2" t="s">
        <v>448</v>
      </c>
      <c r="I14" s="2" t="e">
        <f ca="1">Tinhtoan("ChuongNM",14)</f>
        <v>#NAME?</v>
      </c>
    </row>
    <row r="15" spans="1:9">
      <c r="A15" s="2" t="s">
        <v>409</v>
      </c>
      <c r="B15" s="2" t="s">
        <v>408</v>
      </c>
      <c r="C15" s="2" t="s">
        <v>385</v>
      </c>
      <c r="D15" s="2">
        <v>5</v>
      </c>
      <c r="E15" s="2" t="s">
        <v>445</v>
      </c>
      <c r="F15" s="2" t="s">
        <v>446</v>
      </c>
      <c r="G15" s="2" t="s">
        <v>447</v>
      </c>
      <c r="H15" s="2" t="s">
        <v>448</v>
      </c>
      <c r="I15" s="2" t="e">
        <f ca="1">Tinhtoan("ChuongNM",15)</f>
        <v>#NAME?</v>
      </c>
    </row>
    <row r="16" spans="1:9">
      <c r="A16" s="2" t="s">
        <v>412</v>
      </c>
      <c r="B16" s="2" t="s">
        <v>411</v>
      </c>
      <c r="C16" s="2" t="s">
        <v>385</v>
      </c>
      <c r="D16" s="2">
        <v>5</v>
      </c>
      <c r="E16" s="2" t="s">
        <v>445</v>
      </c>
      <c r="F16" s="2" t="s">
        <v>446</v>
      </c>
      <c r="G16" s="2" t="s">
        <v>447</v>
      </c>
      <c r="H16" s="2" t="s">
        <v>448</v>
      </c>
      <c r="I16" s="2" t="e">
        <f ca="1">Tinhtoan("ChuongNM",16)</f>
        <v>#NAME?</v>
      </c>
    </row>
    <row r="17" spans="1:9">
      <c r="A17" s="2" t="s">
        <v>415</v>
      </c>
      <c r="B17" s="2" t="s">
        <v>414</v>
      </c>
      <c r="C17" s="2" t="s">
        <v>385</v>
      </c>
      <c r="D17" s="2">
        <v>5</v>
      </c>
      <c r="E17" s="2" t="s">
        <v>445</v>
      </c>
      <c r="F17" s="2" t="s">
        <v>446</v>
      </c>
      <c r="G17" s="2" t="s">
        <v>447</v>
      </c>
      <c r="H17" s="2" t="s">
        <v>448</v>
      </c>
      <c r="I17" s="2" t="e">
        <f ca="1">Tinhtoan("ChuongNM",17)</f>
        <v>#NAME?</v>
      </c>
    </row>
    <row r="18" spans="1:9">
      <c r="A18" s="2" t="s">
        <v>420</v>
      </c>
      <c r="B18" s="2" t="s">
        <v>419</v>
      </c>
      <c r="C18" s="2" t="s">
        <v>385</v>
      </c>
      <c r="D18" s="2">
        <v>5</v>
      </c>
      <c r="E18" s="2" t="s">
        <v>445</v>
      </c>
      <c r="F18" s="2" t="s">
        <v>446</v>
      </c>
      <c r="G18" s="2" t="s">
        <v>447</v>
      </c>
      <c r="H18" s="2" t="s">
        <v>448</v>
      </c>
      <c r="I18" s="2" t="e">
        <f ca="1">Tinhtoan("ChuongNM",18)</f>
        <v>#NAME?</v>
      </c>
    </row>
    <row r="19" spans="1:9">
      <c r="A19" s="2" t="s">
        <v>423</v>
      </c>
      <c r="B19" s="2" t="s">
        <v>422</v>
      </c>
      <c r="C19" s="2" t="s">
        <v>385</v>
      </c>
      <c r="D19" s="2">
        <v>5</v>
      </c>
      <c r="E19" s="2" t="s">
        <v>445</v>
      </c>
      <c r="F19" s="2" t="s">
        <v>446</v>
      </c>
      <c r="G19" s="2" t="s">
        <v>447</v>
      </c>
      <c r="H19" s="2" t="s">
        <v>448</v>
      </c>
      <c r="I19" s="2" t="e">
        <f ca="1">Tinhtoan("ChuongNM",19)</f>
        <v>#NAME?</v>
      </c>
    </row>
    <row r="20" spans="1:9">
      <c r="A20" s="2" t="s">
        <v>426</v>
      </c>
      <c r="B20" s="2" t="s">
        <v>425</v>
      </c>
      <c r="C20" s="2" t="s">
        <v>385</v>
      </c>
      <c r="D20" s="2">
        <v>3</v>
      </c>
      <c r="E20" s="2" t="s">
        <v>445</v>
      </c>
      <c r="F20" s="2" t="s">
        <v>446</v>
      </c>
      <c r="G20" s="2" t="s">
        <v>447</v>
      </c>
      <c r="H20" s="2" t="s">
        <v>448</v>
      </c>
      <c r="I20" s="2" t="e">
        <f ca="1">Tinhtoan("ChuongNM",20)</f>
        <v>#NAME?</v>
      </c>
    </row>
    <row r="21" spans="1:9">
      <c r="A21" s="2" t="s">
        <v>431</v>
      </c>
      <c r="B21" s="2" t="s">
        <v>430</v>
      </c>
      <c r="C21" s="2" t="s">
        <v>385</v>
      </c>
      <c r="D21" s="2">
        <v>3</v>
      </c>
      <c r="E21" s="2" t="s">
        <v>445</v>
      </c>
      <c r="F21" s="2" t="s">
        <v>446</v>
      </c>
      <c r="G21" s="2" t="s">
        <v>447</v>
      </c>
      <c r="H21" s="2" t="s">
        <v>448</v>
      </c>
      <c r="I21" s="2" t="e">
        <f ca="1">Tinhtoan("ChuongNM",21)</f>
        <v>#NAME?</v>
      </c>
    </row>
    <row r="22" spans="1:9">
      <c r="A22" s="2" t="s">
        <v>434</v>
      </c>
      <c r="B22" s="2" t="s">
        <v>433</v>
      </c>
      <c r="C22" s="2" t="s">
        <v>385</v>
      </c>
      <c r="D22" s="2">
        <v>3</v>
      </c>
      <c r="E22" s="2" t="s">
        <v>445</v>
      </c>
      <c r="F22" s="2" t="s">
        <v>446</v>
      </c>
      <c r="G22" s="2" t="s">
        <v>447</v>
      </c>
      <c r="H22" s="2" t="s">
        <v>448</v>
      </c>
      <c r="I22" s="2" t="e">
        <f ca="1">Tinhtoan("ChuongNM",22)</f>
        <v>#NAME?</v>
      </c>
    </row>
  </sheetData>
  <mergeCells count="5">
    <mergeCell ref="A1:A2"/>
    <mergeCell ref="B1:B2"/>
    <mergeCell ref="C1:C2"/>
    <mergeCell ref="D1:D2"/>
    <mergeCell ref="E1:I1"/>
  </mergeCells>
  <dataValidations count="4">
    <dataValidation type="list" allowBlank="1" showInputMessage="1" showErrorMessage="1" sqref="G3:G22" xr:uid="{00000000-0002-0000-0600-000000000000}">
      <formula1>"Chi can lam theo guideline, Can hieu o muc co ban, Can hieu ro moi lam duoc, Muc technical leader moi lam duoc"</formula1>
    </dataValidation>
    <dataValidation type="list" allowBlank="1" showInputMessage="1" showErrorMessage="1" sqref="E3:E22" xr:uid="{00000000-0002-0000-0600-000001000000}">
      <formula1>"Small,Medium,Large, Huge"</formula1>
    </dataValidation>
    <dataValidation type="list" allowBlank="1" showInputMessage="1" showErrorMessage="1" sqref="F3:F22" xr:uid="{00000000-0002-0000-0600-000002000000}">
      <formula1>"Easy, Normal, Hard, Expert"</formula1>
    </dataValidation>
    <dataValidation type="list" allowBlank="1" showInputMessage="1" showErrorMessage="1" sqref="H3:H22" xr:uid="{00000000-0002-0000-0600-000003000000}">
      <formula1>"Low, Medium, High,Blocker"</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I22"/>
  <sheetViews>
    <sheetView tabSelected="1" workbookViewId="0">
      <selection activeCell="I4" sqref="I4"/>
    </sheetView>
  </sheetViews>
  <sheetFormatPr defaultRowHeight="16.5"/>
  <cols>
    <col min="1" max="1" width="10.42578125" style="1" bestFit="1" customWidth="1"/>
    <col min="2" max="2" width="79.42578125" style="1" customWidth="1"/>
    <col min="3" max="3" width="12.140625" style="1" customWidth="1"/>
    <col min="4" max="4" width="14.5703125" style="1" bestFit="1" customWidth="1"/>
    <col min="5" max="6" width="10.7109375" style="1" customWidth="1"/>
    <col min="7" max="7" width="20.7109375" style="1" customWidth="1"/>
    <col min="8" max="9" width="10.7109375" style="1" customWidth="1"/>
    <col min="10" max="16384" width="9.140625" style="1"/>
  </cols>
  <sheetData>
    <row r="1" spans="1:9">
      <c r="A1" s="8" t="s">
        <v>436</v>
      </c>
      <c r="B1" s="8" t="s">
        <v>437</v>
      </c>
      <c r="C1" s="10" t="s">
        <v>438</v>
      </c>
      <c r="D1" s="8" t="s">
        <v>439</v>
      </c>
      <c r="E1" s="12" t="s">
        <v>5</v>
      </c>
      <c r="F1" s="13"/>
      <c r="G1" s="13"/>
      <c r="H1" s="13"/>
      <c r="I1" s="14"/>
    </row>
    <row r="2" spans="1:9">
      <c r="A2" s="9"/>
      <c r="B2" s="9"/>
      <c r="C2" s="11"/>
      <c r="D2" s="9"/>
      <c r="E2" s="3" t="s">
        <v>440</v>
      </c>
      <c r="F2" s="3" t="s">
        <v>441</v>
      </c>
      <c r="G2" s="3" t="s">
        <v>442</v>
      </c>
      <c r="H2" s="3" t="s">
        <v>443</v>
      </c>
      <c r="I2" s="3" t="s">
        <v>444</v>
      </c>
    </row>
    <row r="3" spans="1:9">
      <c r="A3" s="2" t="s">
        <v>281</v>
      </c>
      <c r="B3" s="2" t="s">
        <v>280</v>
      </c>
      <c r="C3" s="2" t="s">
        <v>284</v>
      </c>
      <c r="D3" s="2">
        <v>2</v>
      </c>
      <c r="E3" s="2" t="s">
        <v>445</v>
      </c>
      <c r="F3" s="2" t="s">
        <v>449</v>
      </c>
      <c r="G3" s="2" t="s">
        <v>450</v>
      </c>
      <c r="H3" s="2" t="s">
        <v>451</v>
      </c>
      <c r="I3" s="2" t="e" cm="1">
        <f t="array" aca="1" ref="I3" ca="1">Tinhtoan("HieuVD",3)</f>
        <v>#NAME?</v>
      </c>
    </row>
    <row r="4" spans="1:9">
      <c r="A4" s="2" t="s">
        <v>314</v>
      </c>
      <c r="B4" s="2" t="s">
        <v>313</v>
      </c>
      <c r="C4" s="2" t="s">
        <v>284</v>
      </c>
      <c r="D4" s="2">
        <v>2</v>
      </c>
      <c r="E4" s="2" t="s">
        <v>445</v>
      </c>
      <c r="F4" s="2" t="s">
        <v>446</v>
      </c>
      <c r="G4" s="2" t="s">
        <v>447</v>
      </c>
      <c r="H4" s="2" t="s">
        <v>448</v>
      </c>
      <c r="I4" s="2" t="e">
        <f ca="1">Tinhtoan("HieuVD",4)</f>
        <v>#NAME?</v>
      </c>
    </row>
    <row r="5" spans="1:9">
      <c r="A5" s="2" t="s">
        <v>325</v>
      </c>
      <c r="B5" s="2" t="s">
        <v>324</v>
      </c>
      <c r="C5" s="2" t="s">
        <v>284</v>
      </c>
      <c r="D5" s="2">
        <v>2</v>
      </c>
      <c r="E5" s="2" t="s">
        <v>445</v>
      </c>
      <c r="F5" s="2" t="s">
        <v>446</v>
      </c>
      <c r="G5" s="2" t="s">
        <v>447</v>
      </c>
      <c r="H5" s="2" t="s">
        <v>448</v>
      </c>
      <c r="I5" s="2" t="e">
        <f ca="1">Tinhtoan("HieuVD",5)</f>
        <v>#NAME?</v>
      </c>
    </row>
    <row r="6" spans="1:9">
      <c r="A6" s="2" t="s">
        <v>335</v>
      </c>
      <c r="B6" s="2" t="s">
        <v>334</v>
      </c>
      <c r="C6" s="2" t="s">
        <v>284</v>
      </c>
      <c r="D6" s="2">
        <v>2</v>
      </c>
      <c r="E6" s="2" t="s">
        <v>445</v>
      </c>
      <c r="F6" s="2" t="s">
        <v>446</v>
      </c>
      <c r="G6" s="2" t="s">
        <v>447</v>
      </c>
      <c r="H6" s="2" t="s">
        <v>448</v>
      </c>
      <c r="I6" s="2" t="e">
        <f ca="1">Tinhtoan("HieuVD",6)</f>
        <v>#NAME?</v>
      </c>
    </row>
    <row r="7" spans="1:9">
      <c r="A7" s="2" t="s">
        <v>350</v>
      </c>
      <c r="B7" s="2" t="s">
        <v>349</v>
      </c>
      <c r="C7" s="2" t="s">
        <v>351</v>
      </c>
      <c r="D7" s="2">
        <v>2</v>
      </c>
      <c r="E7" s="2" t="s">
        <v>445</v>
      </c>
      <c r="F7" s="2" t="s">
        <v>446</v>
      </c>
      <c r="G7" s="2" t="s">
        <v>447</v>
      </c>
      <c r="H7" s="2" t="s">
        <v>448</v>
      </c>
      <c r="I7" s="2" t="e">
        <f ca="1">Tinhtoan("HieuVD",7)</f>
        <v>#NAME?</v>
      </c>
    </row>
    <row r="8" spans="1:9">
      <c r="A8" s="2" t="s">
        <v>364</v>
      </c>
      <c r="B8" s="2" t="s">
        <v>363</v>
      </c>
      <c r="C8" s="2" t="s">
        <v>351</v>
      </c>
      <c r="D8" s="2">
        <v>2</v>
      </c>
      <c r="E8" s="2" t="s">
        <v>445</v>
      </c>
      <c r="F8" s="2" t="s">
        <v>446</v>
      </c>
      <c r="G8" s="2" t="s">
        <v>447</v>
      </c>
      <c r="H8" s="2" t="s">
        <v>448</v>
      </c>
      <c r="I8" s="2" t="e">
        <f ca="1">Tinhtoan("HieuVD",8)</f>
        <v>#NAME?</v>
      </c>
    </row>
    <row r="9" spans="1:9">
      <c r="A9" s="2" t="s">
        <v>371</v>
      </c>
      <c r="B9" s="2" t="s">
        <v>370</v>
      </c>
      <c r="C9" s="2" t="s">
        <v>351</v>
      </c>
      <c r="D9" s="2">
        <v>2</v>
      </c>
      <c r="E9" s="2" t="s">
        <v>445</v>
      </c>
      <c r="F9" s="2" t="s">
        <v>446</v>
      </c>
      <c r="G9" s="2" t="s">
        <v>447</v>
      </c>
      <c r="H9" s="2" t="s">
        <v>448</v>
      </c>
      <c r="I9" s="2" t="e">
        <f ca="1">Tinhtoan("HieuVD",9)</f>
        <v>#NAME?</v>
      </c>
    </row>
    <row r="10" spans="1:9">
      <c r="A10" s="2" t="s">
        <v>376</v>
      </c>
      <c r="B10" s="2" t="s">
        <v>375</v>
      </c>
      <c r="C10" s="2" t="s">
        <v>351</v>
      </c>
      <c r="D10" s="2">
        <v>2</v>
      </c>
      <c r="E10" s="2" t="s">
        <v>445</v>
      </c>
      <c r="F10" s="2" t="s">
        <v>446</v>
      </c>
      <c r="G10" s="2" t="s">
        <v>447</v>
      </c>
      <c r="H10" s="2" t="s">
        <v>448</v>
      </c>
      <c r="I10" s="2" t="e">
        <f ca="1">Tinhtoan("HieuVD",10)</f>
        <v>#NAME?</v>
      </c>
    </row>
    <row r="11" spans="1:9">
      <c r="A11" s="2" t="s">
        <v>383</v>
      </c>
      <c r="B11" s="2" t="s">
        <v>382</v>
      </c>
      <c r="C11" s="2" t="s">
        <v>385</v>
      </c>
      <c r="D11" s="2">
        <v>5</v>
      </c>
      <c r="E11" s="2" t="s">
        <v>445</v>
      </c>
      <c r="F11" s="2" t="s">
        <v>449</v>
      </c>
      <c r="G11" s="2" t="s">
        <v>452</v>
      </c>
      <c r="H11" s="2" t="s">
        <v>451</v>
      </c>
      <c r="I11" s="2" t="e">
        <f ca="1">Tinhtoan("HieuVD",11)</f>
        <v>#NAME?</v>
      </c>
    </row>
    <row r="12" spans="1:9">
      <c r="A12" s="2" t="s">
        <v>395</v>
      </c>
      <c r="B12" s="2" t="s">
        <v>394</v>
      </c>
      <c r="C12" s="2" t="s">
        <v>385</v>
      </c>
      <c r="D12" s="2">
        <v>5</v>
      </c>
      <c r="E12" s="2" t="s">
        <v>445</v>
      </c>
      <c r="F12" s="2" t="s">
        <v>446</v>
      </c>
      <c r="G12" s="2" t="s">
        <v>447</v>
      </c>
      <c r="H12" s="2" t="s">
        <v>448</v>
      </c>
      <c r="I12" s="2" t="e">
        <f ca="1">Tinhtoan("HieuVD",12)</f>
        <v>#NAME?</v>
      </c>
    </row>
    <row r="13" spans="1:9">
      <c r="A13" s="2" t="s">
        <v>398</v>
      </c>
      <c r="B13" s="2" t="s">
        <v>397</v>
      </c>
      <c r="C13" s="2" t="s">
        <v>385</v>
      </c>
      <c r="D13" s="2">
        <v>5</v>
      </c>
      <c r="E13" s="2" t="s">
        <v>445</v>
      </c>
      <c r="F13" s="2" t="s">
        <v>446</v>
      </c>
      <c r="G13" s="2" t="s">
        <v>447</v>
      </c>
      <c r="H13" s="2" t="s">
        <v>448</v>
      </c>
      <c r="I13" s="2" t="e">
        <f ca="1">Tinhtoan("HieuVD",13)</f>
        <v>#NAME?</v>
      </c>
    </row>
    <row r="14" spans="1:9">
      <c r="A14" s="2" t="s">
        <v>401</v>
      </c>
      <c r="B14" s="2" t="s">
        <v>400</v>
      </c>
      <c r="C14" s="2" t="s">
        <v>385</v>
      </c>
      <c r="D14" s="2">
        <v>5</v>
      </c>
      <c r="E14" s="2" t="s">
        <v>445</v>
      </c>
      <c r="F14" s="2" t="s">
        <v>446</v>
      </c>
      <c r="G14" s="2" t="s">
        <v>447</v>
      </c>
      <c r="H14" s="2" t="s">
        <v>448</v>
      </c>
      <c r="I14" s="2" t="e">
        <f ca="1">Tinhtoan("HieuVD",14)</f>
        <v>#NAME?</v>
      </c>
    </row>
    <row r="15" spans="1:9">
      <c r="A15" s="2" t="s">
        <v>409</v>
      </c>
      <c r="B15" s="2" t="s">
        <v>408</v>
      </c>
      <c r="C15" s="2" t="s">
        <v>385</v>
      </c>
      <c r="D15" s="2">
        <v>5</v>
      </c>
      <c r="E15" s="2" t="s">
        <v>445</v>
      </c>
      <c r="F15" s="2" t="s">
        <v>446</v>
      </c>
      <c r="G15" s="2" t="s">
        <v>447</v>
      </c>
      <c r="H15" s="2" t="s">
        <v>448</v>
      </c>
      <c r="I15" s="2" t="e">
        <f ca="1">Tinhtoan("HieuVD",15)</f>
        <v>#NAME?</v>
      </c>
    </row>
    <row r="16" spans="1:9">
      <c r="A16" s="2" t="s">
        <v>412</v>
      </c>
      <c r="B16" s="2" t="s">
        <v>411</v>
      </c>
      <c r="C16" s="2" t="s">
        <v>385</v>
      </c>
      <c r="D16" s="2">
        <v>5</v>
      </c>
      <c r="E16" s="2" t="s">
        <v>445</v>
      </c>
      <c r="F16" s="2" t="s">
        <v>446</v>
      </c>
      <c r="G16" s="2" t="s">
        <v>447</v>
      </c>
      <c r="H16" s="2" t="s">
        <v>448</v>
      </c>
      <c r="I16" s="2" t="e">
        <f ca="1">Tinhtoan("HieuVD",16)</f>
        <v>#NAME?</v>
      </c>
    </row>
    <row r="17" spans="1:9">
      <c r="A17" s="2" t="s">
        <v>415</v>
      </c>
      <c r="B17" s="2" t="s">
        <v>414</v>
      </c>
      <c r="C17" s="2" t="s">
        <v>385</v>
      </c>
      <c r="D17" s="2">
        <v>5</v>
      </c>
      <c r="E17" s="2" t="s">
        <v>445</v>
      </c>
      <c r="F17" s="2" t="s">
        <v>446</v>
      </c>
      <c r="G17" s="2" t="s">
        <v>447</v>
      </c>
      <c r="H17" s="2" t="s">
        <v>448</v>
      </c>
      <c r="I17" s="2" t="e">
        <f ca="1">Tinhtoan("HieuVD",17)</f>
        <v>#NAME?</v>
      </c>
    </row>
    <row r="18" spans="1:9">
      <c r="A18" s="2" t="s">
        <v>420</v>
      </c>
      <c r="B18" s="2" t="s">
        <v>419</v>
      </c>
      <c r="C18" s="2" t="s">
        <v>385</v>
      </c>
      <c r="D18" s="2">
        <v>5</v>
      </c>
      <c r="E18" s="2" t="s">
        <v>445</v>
      </c>
      <c r="F18" s="2" t="s">
        <v>446</v>
      </c>
      <c r="G18" s="2" t="s">
        <v>447</v>
      </c>
      <c r="H18" s="2" t="s">
        <v>448</v>
      </c>
      <c r="I18" s="2" t="e">
        <f ca="1">Tinhtoan("HieuVD",18)</f>
        <v>#NAME?</v>
      </c>
    </row>
    <row r="19" spans="1:9">
      <c r="A19" s="2" t="s">
        <v>423</v>
      </c>
      <c r="B19" s="2" t="s">
        <v>422</v>
      </c>
      <c r="C19" s="2" t="s">
        <v>385</v>
      </c>
      <c r="D19" s="2">
        <v>5</v>
      </c>
      <c r="E19" s="2" t="s">
        <v>445</v>
      </c>
      <c r="F19" s="2" t="s">
        <v>446</v>
      </c>
      <c r="G19" s="2" t="s">
        <v>447</v>
      </c>
      <c r="H19" s="2" t="s">
        <v>448</v>
      </c>
      <c r="I19" s="2" t="e">
        <f ca="1">Tinhtoan("HieuVD",19)</f>
        <v>#NAME?</v>
      </c>
    </row>
    <row r="20" spans="1:9">
      <c r="A20" s="2" t="s">
        <v>426</v>
      </c>
      <c r="B20" s="2" t="s">
        <v>425</v>
      </c>
      <c r="C20" s="2" t="s">
        <v>385</v>
      </c>
      <c r="D20" s="2">
        <v>3</v>
      </c>
      <c r="E20" s="2" t="s">
        <v>445</v>
      </c>
      <c r="F20" s="2" t="s">
        <v>446</v>
      </c>
      <c r="G20" s="2" t="s">
        <v>447</v>
      </c>
      <c r="H20" s="2" t="s">
        <v>448</v>
      </c>
      <c r="I20" s="2" t="e">
        <f ca="1">Tinhtoan("HieuVD",20)</f>
        <v>#NAME?</v>
      </c>
    </row>
    <row r="21" spans="1:9">
      <c r="A21" s="2" t="s">
        <v>431</v>
      </c>
      <c r="B21" s="2" t="s">
        <v>430</v>
      </c>
      <c r="C21" s="2" t="s">
        <v>385</v>
      </c>
      <c r="D21" s="2">
        <v>3</v>
      </c>
      <c r="E21" s="2" t="s">
        <v>445</v>
      </c>
      <c r="F21" s="2" t="s">
        <v>446</v>
      </c>
      <c r="G21" s="2" t="s">
        <v>447</v>
      </c>
      <c r="H21" s="2" t="s">
        <v>448</v>
      </c>
      <c r="I21" s="2" t="e">
        <f ca="1">Tinhtoan("HieuVD",21)</f>
        <v>#NAME?</v>
      </c>
    </row>
    <row r="22" spans="1:9">
      <c r="A22" s="2" t="s">
        <v>434</v>
      </c>
      <c r="B22" s="2" t="s">
        <v>433</v>
      </c>
      <c r="C22" s="2" t="s">
        <v>385</v>
      </c>
      <c r="D22" s="2">
        <v>3</v>
      </c>
      <c r="E22" s="2" t="s">
        <v>445</v>
      </c>
      <c r="F22" s="2" t="s">
        <v>446</v>
      </c>
      <c r="G22" s="2" t="s">
        <v>447</v>
      </c>
      <c r="H22" s="2" t="s">
        <v>448</v>
      </c>
      <c r="I22" s="2" t="e">
        <f ca="1">Tinhtoan("HieuVD",22)</f>
        <v>#NAME?</v>
      </c>
    </row>
  </sheetData>
  <mergeCells count="5">
    <mergeCell ref="A1:A2"/>
    <mergeCell ref="B1:B2"/>
    <mergeCell ref="C1:C2"/>
    <mergeCell ref="D1:D2"/>
    <mergeCell ref="E1:I1"/>
  </mergeCells>
  <dataValidations count="4">
    <dataValidation type="list" allowBlank="1" showInputMessage="1" showErrorMessage="1" sqref="G3:G22" xr:uid="{00000000-0002-0000-0700-000000000000}">
      <formula1>"Chi can lam theo guideline, Can hieu o muc co ban, Can hieu ro moi lam duoc, Muc technical leader moi lam duoc"</formula1>
    </dataValidation>
    <dataValidation type="list" allowBlank="1" showInputMessage="1" showErrorMessage="1" sqref="E3:E22" xr:uid="{00000000-0002-0000-0700-000001000000}">
      <formula1>"Small,Medium,Large, Huge"</formula1>
    </dataValidation>
    <dataValidation type="list" allowBlank="1" showInputMessage="1" showErrorMessage="1" sqref="F3:F22" xr:uid="{00000000-0002-0000-0700-000002000000}">
      <formula1>"Easy, Normal, Hard, Expert"</formula1>
    </dataValidation>
    <dataValidation type="list" allowBlank="1" showInputMessage="1" showErrorMessage="1" sqref="H3:H22" xr:uid="{00000000-0002-0000-0700-000003000000}">
      <formula1>"Low, Medium, High,Blocker"</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c4672b8b-43e2-4139-8cd1-27ad03f081e7" xsi:nil="true"/>
    <lcf76f155ced4ddcb4097134ff3c332f xmlns="8f1bc372-0378-4844-8faa-948093c5494b">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27BAF8570EFEB4EB503BF1DEDEAC3FF" ma:contentTypeVersion="15" ma:contentTypeDescription="Create a new document." ma:contentTypeScope="" ma:versionID="f040904d2061e92c1c49887913d46edd">
  <xsd:schema xmlns:xsd="http://www.w3.org/2001/XMLSchema" xmlns:xs="http://www.w3.org/2001/XMLSchema" xmlns:p="http://schemas.microsoft.com/office/2006/metadata/properties" xmlns:ns2="8f1bc372-0378-4844-8faa-948093c5494b" xmlns:ns3="98414995-779f-42fe-85cc-b2ed736cde9d" xmlns:ns4="c4672b8b-43e2-4139-8cd1-27ad03f081e7" targetNamespace="http://schemas.microsoft.com/office/2006/metadata/properties" ma:root="true" ma:fieldsID="09ab51ae3e7defa84a5119748a6783d4" ns2:_="" ns3:_="" ns4:_="">
    <xsd:import namespace="8f1bc372-0378-4844-8faa-948093c5494b"/>
    <xsd:import namespace="98414995-779f-42fe-85cc-b2ed736cde9d"/>
    <xsd:import namespace="c4672b8b-43e2-4139-8cd1-27ad03f081e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f1bc372-0378-4844-8faa-948093c5494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7ae9cabe-f4d8-44ae-a6f0-8d11cb15c1a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98414995-779f-42fe-85cc-b2ed736cde9d"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4672b8b-43e2-4139-8cd1-27ad03f081e7"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8761a12-f904-426e-9f8e-d9319af9c25f}" ma:internalName="TaxCatchAll" ma:showField="CatchAllData" ma:web="98414995-779f-42fe-85cc-b2ed736cde9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51D3A71-825E-4377-95E9-34F6B043EFB4}"/>
</file>

<file path=customXml/itemProps2.xml><?xml version="1.0" encoding="utf-8"?>
<ds:datastoreItem xmlns:ds="http://schemas.openxmlformats.org/officeDocument/2006/customXml" ds:itemID="{9F6BC271-4687-427A-A130-EAAF229BA650}"/>
</file>

<file path=customXml/itemProps3.xml><?xml version="1.0" encoding="utf-8"?>
<ds:datastoreItem xmlns:ds="http://schemas.openxmlformats.org/officeDocument/2006/customXml" ds:itemID="{3BEF5FD0-D0FA-452B-96CA-5BAA7F439495}"/>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Tuan Vo Nhu</cp:lastModifiedBy>
  <cp:revision/>
  <dcterms:created xsi:type="dcterms:W3CDTF">2015-06-05T18:17:20Z</dcterms:created>
  <dcterms:modified xsi:type="dcterms:W3CDTF">2022-01-21T07:37:51Z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0x010100E27BAF8570EFEB4EB503BF1DEDEAC3FF</vt:lpwstr>
  </property>
</Properties>
</file>